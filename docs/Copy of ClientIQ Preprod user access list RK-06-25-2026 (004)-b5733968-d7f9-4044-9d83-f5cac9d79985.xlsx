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Ryan\2025 Projects\Request Deliverables\"/>
    </mc:Choice>
  </mc:AlternateContent>
  <xr:revisionPtr revIDLastSave="0" documentId="13_ncr:1_{4E0DB1D3-F4C4-4A67-8CAE-E7E9FF451B1D}" xr6:coauthVersionLast="47" xr6:coauthVersionMax="47" xr10:uidLastSave="{00000000-0000-0000-0000-000000000000}"/>
  <bookViews>
    <workbookView xWindow="-120" yWindow="-120" windowWidth="25440" windowHeight="15270" xr2:uid="{6A0EFF4B-908B-47EF-A8B9-A1C799F94F8B}"/>
  </bookViews>
  <sheets>
    <sheet name="Pre-prod" sheetId="1" r:id="rId1"/>
    <sheet name="AD_Groups" sheetId="7" r:id="rId2"/>
    <sheet name="Client_IQ_Groups" sheetId="6" r:id="rId3"/>
    <sheet name="Tester_Roles" sheetId="5" r:id="rId4"/>
    <sheet name="Privilege_Levels" sheetId="2" r:id="rId5"/>
    <sheet name="Roles" sheetId="3" r:id="rId6"/>
    <sheet name="role_id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F34" i="1" s="1"/>
  <c r="L35" i="1"/>
  <c r="F35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E2" i="5"/>
  <c r="E3" i="5"/>
  <c r="E4" i="5"/>
  <c r="E5" i="5"/>
  <c r="E6" i="5"/>
  <c r="E7" i="5"/>
  <c r="E8" i="5"/>
  <c r="E9" i="5"/>
  <c r="E10" i="5"/>
  <c r="I2" i="1"/>
  <c r="K2" i="1" s="1"/>
  <c r="I3" i="1"/>
  <c r="K3" i="1" s="1"/>
  <c r="I4" i="1"/>
  <c r="K4" i="1" s="1"/>
  <c r="I5" i="1"/>
  <c r="K5" i="1" s="1"/>
  <c r="I6" i="1"/>
  <c r="K6" i="1" s="1"/>
  <c r="I7" i="1"/>
  <c r="K7" i="1" s="1"/>
  <c r="I8" i="1"/>
  <c r="K8" i="1" s="1"/>
  <c r="I9" i="1"/>
  <c r="K9" i="1" s="1"/>
  <c r="I10" i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K27" i="1" s="1"/>
  <c r="I28" i="1"/>
  <c r="K28" i="1" s="1"/>
  <c r="I29" i="1"/>
  <c r="K29" i="1" s="1"/>
  <c r="I30" i="1"/>
  <c r="K30" i="1" s="1"/>
  <c r="I31" i="1"/>
  <c r="K31" i="1" s="1"/>
  <c r="I32" i="1"/>
  <c r="K32" i="1" s="1"/>
  <c r="I33" i="1"/>
  <c r="K33" i="1" s="1"/>
  <c r="I34" i="1"/>
  <c r="K34" i="1" s="1"/>
  <c r="I35" i="1"/>
  <c r="K35" i="1" s="1"/>
</calcChain>
</file>

<file path=xl/sharedStrings.xml><?xml version="1.0" encoding="utf-8"?>
<sst xmlns="http://schemas.openxmlformats.org/spreadsheetml/2006/main" count="304" uniqueCount="166">
  <si>
    <t>Employee name</t>
  </si>
  <si>
    <t>AD Group role:</t>
  </si>
  <si>
    <t>Privilege Level</t>
  </si>
  <si>
    <t>Title</t>
  </si>
  <si>
    <t>IAM role:</t>
  </si>
  <si>
    <t>ClientIQ role and ID</t>
  </si>
  <si>
    <t>Jared Souter</t>
  </si>
  <si>
    <t>CTRL_PRE_APP_ClientIQ_APPSVCS_ADM</t>
  </si>
  <si>
    <t>EVP, COO</t>
  </si>
  <si>
    <t>IAM_PRE_APP_RSA_ClientIQ_GEN_EXEC</t>
  </si>
  <si>
    <t>Naga Adapala</t>
  </si>
  <si>
    <t>SVP, CIO</t>
  </si>
  <si>
    <t>Juan Sanchez</t>
  </si>
  <si>
    <t>VP, Application Services Manager</t>
  </si>
  <si>
    <t>Stanley Tucker</t>
  </si>
  <si>
    <t>CTRL_PRE_APP_ClientIQ_BranchManager_MOD</t>
  </si>
  <si>
    <t>Data Automation Spec/Business Process Analyst</t>
  </si>
  <si>
    <t>Ryan Kerlagon</t>
  </si>
  <si>
    <t>Business Intelligence Analyst</t>
  </si>
  <si>
    <t>Trevor Dowds</t>
  </si>
  <si>
    <t>Technology Product Manager</t>
  </si>
  <si>
    <t>Ankith Mareddy</t>
  </si>
  <si>
    <t>Technology Product Analyst</t>
  </si>
  <si>
    <t>Eva Wong Hang</t>
  </si>
  <si>
    <t>VP, Business Project Manager</t>
  </si>
  <si>
    <t>Ephraim Olivera</t>
  </si>
  <si>
    <t>VP, CRM Manager</t>
  </si>
  <si>
    <t>David Tran</t>
  </si>
  <si>
    <t>Applications Systems Administrator</t>
  </si>
  <si>
    <t>John Emerson</t>
  </si>
  <si>
    <t>Development Ops Engineer</t>
  </si>
  <si>
    <t>John Eichler</t>
  </si>
  <si>
    <t>VP, Data Governance Architect</t>
  </si>
  <si>
    <t>Lamonte Lee (Los Altos)</t>
  </si>
  <si>
    <t>Branch Manager</t>
  </si>
  <si>
    <t>Blaine Nelson- BM (Lake Forest)</t>
  </si>
  <si>
    <t>Max Svensson- Teller (SJC)</t>
  </si>
  <si>
    <t>CTRL_PRE_APP_ClientIQ_Teller_RO</t>
  </si>
  <si>
    <t>Teller</t>
  </si>
  <si>
    <t>Daniel Zahab- BRS (Laguna Hills)</t>
  </si>
  <si>
    <t>CTRL_PRE_APP_ClientIQ_BusinessBanker_RW</t>
  </si>
  <si>
    <t>Banking Relationship Specialist</t>
  </si>
  <si>
    <t>Jospeh La Forna – BRS2 (Orange)</t>
  </si>
  <si>
    <t>Banking Relationship Specialist 2</t>
  </si>
  <si>
    <t>Dan Biedscheid – BM (Santa Ana)</t>
  </si>
  <si>
    <t>Helen Eligio – BM (Fullerton)</t>
  </si>
  <si>
    <t>Gilberto Rodriguez (Torrance )</t>
  </si>
  <si>
    <t>Van Pham (Redondo )</t>
  </si>
  <si>
    <t>Operations Manager</t>
  </si>
  <si>
    <t>Sadhna Sighna (Rolling Hills)</t>
  </si>
  <si>
    <t>Nadine Kahwaji (CDM)</t>
  </si>
  <si>
    <t>Nancy Kim (Newport Beach)</t>
  </si>
  <si>
    <t>Sr. Banking Relationship Specialist</t>
  </si>
  <si>
    <t>David Henderson (Tustin)</t>
  </si>
  <si>
    <t>Kirk Van Atta</t>
  </si>
  <si>
    <t>Regional Manager - Branch Banking</t>
  </si>
  <si>
    <t>Raymond Cervantez</t>
  </si>
  <si>
    <t>Matt Greville</t>
  </si>
  <si>
    <t>Marcos Reyes</t>
  </si>
  <si>
    <t>Brandon Maloney</t>
  </si>
  <si>
    <t>Jason Bennett</t>
  </si>
  <si>
    <t>Director of Branch Banking</t>
  </si>
  <si>
    <t>Privilege Level2</t>
  </si>
  <si>
    <t>Level</t>
  </si>
  <si>
    <t>Tier</t>
  </si>
  <si>
    <t>Authority</t>
  </si>
  <si>
    <t>System Admin</t>
  </si>
  <si>
    <t>Everything. User/role management, SAML config, all data.</t>
  </si>
  <si>
    <t>Senior/Branch</t>
  </si>
  <si>
    <t>Can view employee customer records. Most operational access.</t>
  </si>
  <si>
    <t>Manager</t>
  </si>
  <si>
    <t>Team management. Can view user list. Standard operational access.</t>
  </si>
  <si>
    <t>Staff</t>
  </si>
  <si>
    <t>Basic customer and account operations. No admin access.</t>
  </si>
  <si>
    <t>Read-Only</t>
  </si>
  <si>
    <t>Minimal access. View-only on permitted resources.</t>
  </si>
  <si>
    <t>Role</t>
  </si>
  <si>
    <t>Description</t>
  </si>
  <si>
    <t>Full system access. Manages users, roles, SAML mappings.</t>
  </si>
  <si>
    <t>Branch-level authority. Can view employee customer data.</t>
  </si>
  <si>
    <t>Assistant Manager</t>
  </si>
  <si>
    <t>Team management. Limited user management.</t>
  </si>
  <si>
    <t>Loan Officer</t>
  </si>
  <si>
    <t>Lending operations. Account and customer access.</t>
  </si>
  <si>
    <t>Business Banker</t>
  </si>
  <si>
    <t>Business relationship management.</t>
  </si>
  <si>
    <t>Day-to-day customer and account operations.</t>
  </si>
  <si>
    <t>Customer Service Rep</t>
  </si>
  <si>
    <t>Basic customer lookup and service.</t>
  </si>
  <si>
    <t>Risk Analyst</t>
  </si>
  <si>
    <t>Risk monitoring and review.</t>
  </si>
  <si>
    <t>Compliance Officer</t>
  </si>
  <si>
    <t>Compliance monitoring.</t>
  </si>
  <si>
    <t>role_id</t>
  </si>
  <si>
    <t>role_name</t>
  </si>
  <si>
    <t>privilege_level</t>
  </si>
  <si>
    <t>description</t>
  </si>
  <si>
    <t>Employee</t>
  </si>
  <si>
    <t>General employee with basic customer service permis...</t>
  </si>
  <si>
    <t>Teller with transaction processing permissions</t>
  </si>
  <si>
    <t>BRS</t>
  </si>
  <si>
    <t>Business Relationship Specialist with enhanced cust...</t>
  </si>
  <si>
    <t>Branch Manager with management and oversight per...</t>
  </si>
  <si>
    <t>Ops Manager</t>
  </si>
  <si>
    <t>Operations Manager with operational oversight</t>
  </si>
  <si>
    <t>Relationship Manager</t>
  </si>
  <si>
    <t>Relationship Manager with client relationship permissi...</t>
  </si>
  <si>
    <t>Regional Manager</t>
  </si>
  <si>
    <t>Regional Manager with multi branch oversight</t>
  </si>
  <si>
    <t>Executive</t>
  </si>
  <si>
    <t>Executive with strategic oversight permissions</t>
  </si>
  <si>
    <t>System Administrator with full system access</t>
  </si>
  <si>
    <t>Handles loan processing and approvals</t>
  </si>
  <si>
    <t>Analyzes financial and credit risks</t>
  </si>
  <si>
    <t>Ensures regulatory compliance</t>
  </si>
  <si>
    <t>Logan Suguitan</t>
  </si>
  <si>
    <t>Harshit Bhavnani</t>
  </si>
  <si>
    <t>Haroun Ahmady</t>
  </si>
  <si>
    <t>Tester_Name</t>
  </si>
  <si>
    <t>CTRL_STG_APP_ClientIQ_BranchManager_MOD</t>
  </si>
  <si>
    <t>Branch Manager with Role ID 4</t>
  </si>
  <si>
    <t>CTRL_STG_APP_ClientIQ_AppAdmin_ADM</t>
  </si>
  <si>
    <t>Systems Adminstrator Role ID 9</t>
  </si>
  <si>
    <t>CTRL_STG_APP_ClientIQ_Teller_RO</t>
  </si>
  <si>
    <t>Teller with Role ID 2</t>
  </si>
  <si>
    <t>CTRL_STG_APP_ClientIQ_BusinessBanker_RW</t>
  </si>
  <si>
    <t>BRS with role ID 3</t>
  </si>
  <si>
    <t>CTRL_STG_APP_ClientIQ_LoanOfficer_RW</t>
  </si>
  <si>
    <t>Loan Officer with ID 10</t>
  </si>
  <si>
    <t>CTRL_STG_APP_ClientIQ_Risk_RO</t>
  </si>
  <si>
    <t>Risk Analyst with Role ID 11</t>
  </si>
  <si>
    <t>CTRL_STG_APP_ClientIQ_Compliance_RO</t>
  </si>
  <si>
    <t>Compliance Officer with Role ID 12</t>
  </si>
  <si>
    <t>AD group Role</t>
  </si>
  <si>
    <t>Client IQ Role</t>
  </si>
  <si>
    <t>Role_Name</t>
  </si>
  <si>
    <t>CTRL_STG_APP_ClientIQ_DataAnalyst_RO</t>
  </si>
  <si>
    <t>IAM_STG_APP_RSA_ClientIQ_GEN_EXEC</t>
  </si>
  <si>
    <t>AD Groups</t>
  </si>
  <si>
    <t>Testing AD Role ID</t>
  </si>
  <si>
    <t>Column1</t>
  </si>
  <si>
    <t>Role ID</t>
  </si>
  <si>
    <t>Testing Privilege Level</t>
  </si>
  <si>
    <t>Testing Client_IQ_Group</t>
  </si>
  <si>
    <t>Testing Role2</t>
  </si>
  <si>
    <t>Dev Testing Role?</t>
  </si>
  <si>
    <t>AD_Groups Staging Groups</t>
  </si>
  <si>
    <t>AD_Groups Pre Prod Groups</t>
  </si>
  <si>
    <t>CTRL_PRE_APP_ClientIQ_Risk_RO</t>
  </si>
  <si>
    <t>CTRL_PRE_APP_ClientIQ_LoanOfficer_RW</t>
  </si>
  <si>
    <t>CTRL_PRE_APP_ClientIQ_DataAnalyst_RO</t>
  </si>
  <si>
    <t>CTRL_PRE_APP_ClientIQ_Compliance_RO</t>
  </si>
  <si>
    <t>CTRL_TST_APP_ClientIQ_AppAdmin_ADM</t>
  </si>
  <si>
    <t>CTRL_TST_APP_ClientIQ_GEN_RW</t>
  </si>
  <si>
    <t>CTRL_DEV_APP_ClientIQ_AppAdmin_ADM</t>
  </si>
  <si>
    <t>CTRL_DEV_APP_ClientIQ_GEN_RW</t>
  </si>
  <si>
    <t>CTRL_PRD_APP_ClientIQ_AppAdmin_ADM</t>
  </si>
  <si>
    <t>CTRL_PRD_APP_ClientIQ_Compliance_RO</t>
  </si>
  <si>
    <t>CTRL_PRD_APP_ClientIQ_Risk_RO</t>
  </si>
  <si>
    <t>CTRL_PRD_APP_ClientIQ_Teller_RO</t>
  </si>
  <si>
    <t>CTRL_PRD_APP_ClientIQ_BusinessBanker_RW</t>
  </si>
  <si>
    <t>CTRL_PRD_APP_ClientIQ_LoanOfficer_RW</t>
  </si>
  <si>
    <t>CTRL_PRD_APP_ClientIQ_BranchManager_MOD</t>
  </si>
  <si>
    <t>IAM_TST_APP_RSA_ClientIQ_GEN_EXEC</t>
  </si>
  <si>
    <t>IAM_DEV_APP_RSA_ClientIQ_GEN_EXEC</t>
  </si>
  <si>
    <t>IAM_PRD_APP_RSA_ClientIQ_GEN_EXEC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</si>
</sst>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sz val="8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1" xfId="0" applyFont="1" applyBorder="1"/>
    <xf numFmtId="0" fontId="0" fillId="0" borderId="2" xfId="0" applyFont="1" applyBorder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vertical="center" wrapText="1"/>
    </xf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font>
        <b/>
        <i val="0"/>
        <color rgb="FF00B050"/>
      </font>
    </dxf>
    <dxf>
      <font>
        <b/>
        <i val="0"/>
        <color rgb="FFFF0000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0" formatCode="General"/>
      <alignment horizontal="general" vertical="center" textRotation="0" wrapText="1" indent="0" justifyLastLine="0" shrinkToFit="0" readingOrder="0"/>
    </dxf>
    <dxf>
      <font>
        <b/>
        <i val="0"/>
        <color rgb="FF00B050"/>
      </font>
    </dxf>
    <dxf>
      <font>
        <b/>
      </font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EB76E-E4E7-4B7C-8F91-F398C1959197}" name="Preprod" displayName="Preprod" ref="A1:L35" totalsRowShown="0" headerRowDxfId="19">
  <autoFilter ref="A1:L35" xr:uid="{AE8EB76E-E4E7-4B7C-8F91-F398C1959197}"/>
  <tableColumns count="12">
    <tableColumn id="1" xr3:uid="{1501A339-3EF3-464A-B55C-DAD1AE71A219}" name="Employee name"/>
    <tableColumn id="2" xr3:uid="{70C8A166-490D-414A-A9C0-A594FD3D3477}" name="AD Group role:"/>
    <tableColumn id="3" xr3:uid="{25DE17F7-8D7A-40CE-A16E-A54281D23C07}" name="Privilege Level"/>
    <tableColumn id="4" xr3:uid="{FC67ADEF-AABA-444C-B162-F082255547B7}" name="Title" dataDxfId="21"/>
    <tableColumn id="5" xr3:uid="{F66FDBAE-7DA0-4E7D-B193-609FBDBDC83D}" name="IAM role:" dataDxfId="20"/>
    <tableColumn id="6" xr3:uid="{369328DE-A20C-4A00-9FBA-A5E6350E2244}" name="ClientIQ role and ID" dataDxfId="2">
      <calculatedColumnFormula>IFERROR(VLOOKUP(TRIM(B2),Table6[],3,0),VLOOKUP(L2,Table6[],2,0))</calculatedColumnFormula>
    </tableColumn>
    <tableColumn id="7" xr3:uid="{18784F78-D8F0-4523-B6D0-226452E295D8}" name="Privilege Level2"/>
    <tableColumn id="14" xr3:uid="{7BEDDE55-2CC2-4E08-8FBA-C450F742ED45}" name="Dev Testing Role?" dataDxfId="7">
      <calculatedColumnFormula>IF(COUNTIF(tester_roles[Tester_Name],'Pre-prod'!A2)&gt;0,"Y","N")</calculatedColumnFormula>
    </tableColumn>
    <tableColumn id="10" xr3:uid="{58739D52-7CA2-4A0B-B105-CD69018F3055}" name="Testing Role2" dataDxfId="8">
      <calculatedColumnFormula>IFERROR(VLOOKUP(A2,tester_roles[],2,0),"")</calculatedColumnFormula>
    </tableColumn>
    <tableColumn id="11" xr3:uid="{68124D5D-A86B-44E3-B7FB-AFC1E982FB75}" name="Testing AD Role ID" dataDxfId="11">
      <calculatedColumnFormula>IFERROR(VLOOKUP(A2,tester_roles[#All],5,0),"")</calculatedColumnFormula>
    </tableColumn>
    <tableColumn id="12" xr3:uid="{8EAE2EAF-228E-4F9A-B735-A0715D23C5DA}" name="Testing Privilege Level" dataDxfId="10">
      <calculatedColumnFormula>IFERROR(VLOOKUP(I2,roles[],2,0),"")</calculatedColumnFormula>
    </tableColumn>
    <tableColumn id="13" xr3:uid="{ECB41EA0-3E3C-49B2-8438-6EE48671BB35}" name="Testing Client_IQ_Group" dataDxfId="9">
      <calculatedColumnFormula>IFERROR(VLOOKUP(A2,tester_roles[],3,0),"")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E30E32-A39C-4632-A0DC-0C6B84B45BD9}" name="Table6" displayName="Table6" ref="A1:C10" totalsRowShown="0" headerRowDxfId="13" dataDxfId="14">
  <autoFilter ref="A1:C10" xr:uid="{7EE30E32-A39C-4632-A0DC-0C6B84B45BD9}"/>
  <tableColumns count="3">
    <tableColumn id="3" xr3:uid="{9B4739D6-C895-495A-96F7-2B696C9F2F32}" name="AD_Groups Pre Prod Groups" dataDxfId="4"/>
    <tableColumn id="1" xr3:uid="{D7000FD1-3BA0-442E-B03E-3CA437B594A7}" name="AD_Groups Staging Groups" dataDxfId="3"/>
    <tableColumn id="2" xr3:uid="{7417CE48-0EF7-4FAF-A4FC-70774FC2C85C}" name="Column1" dataDxfId="5">
      <calculatedColumnFormula>LOOKUP(B2,role_id[AD Groups],role_id[role_name])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6540E2-56D0-4D7F-9305-F2A5200E929B}" name="tester_roles" displayName="tester_roles" ref="A1:E10" totalsRowShown="0" headerRowDxfId="15">
  <autoFilter ref="A1:E10" xr:uid="{9D6540E2-56D0-4D7F-9305-F2A5200E929B}"/>
  <tableColumns count="5">
    <tableColumn id="1" xr3:uid="{110E5591-002D-4622-905B-4ABBDD2BE6D2}" name="Tester_Name" dataDxfId="18"/>
    <tableColumn id="2" xr3:uid="{63E071A8-64F5-4E5B-A665-A12201E1612D}" name="Role_Name"/>
    <tableColumn id="3" xr3:uid="{61ED9245-5C5C-4B36-AA6E-A60EB0D03A59}" name="AD group Role" dataDxfId="17"/>
    <tableColumn id="4" xr3:uid="{DCD11639-F179-4163-AEDE-57A3872AE84B}" name="Client IQ Role" dataDxfId="16"/>
    <tableColumn id="5" xr3:uid="{B4C8E5C0-897E-4A7C-A258-E0C5734F93F4}" name="Role ID" dataDxfId="12">
      <calculatedColumnFormula>VLOOKUP(B2,role_id[],2,0)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D6C60-1935-44AF-A263-53ED49E62EE3}" name="Privilege_Level" displayName="Privilege_Level" ref="A1:C6" totalsRowShown="0">
  <autoFilter ref="A1:C6" xr:uid="{13ED6C60-1935-44AF-A263-53ED49E62EE3}"/>
  <tableColumns count="3">
    <tableColumn id="2" xr3:uid="{6B5F7CEF-FEA9-4D24-90BA-E0D0303BBDC0}" name="Tier"/>
    <tableColumn id="1" xr3:uid="{5E76D74A-5807-4931-8FBE-6637139F2682}" name="Level"/>
    <tableColumn id="3" xr3:uid="{CCA444BE-2F74-4E56-8D61-9CA2B464A9DC}" name="Authority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F2EC4F-DAB4-44DE-BBBE-55955DB77A84}" name="roles" displayName="roles" ref="A1:C10" totalsRowShown="0">
  <autoFilter ref="A1:C10" xr:uid="{CFF2EC4F-DAB4-44DE-BBBE-55955DB77A84}"/>
  <tableColumns count="3">
    <tableColumn id="1" xr3:uid="{43B4BA4D-ADF8-4129-8229-813C4ACEF08E}" name="Role"/>
    <tableColumn id="2" xr3:uid="{1681370A-38F8-4F8A-BD78-3AECCE6DB64B}" name="Privilege Level"/>
    <tableColumn id="3" xr3:uid="{653ECBA0-A293-4D70-B16D-D1F72E9C8CA3}" name="Description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3C5E28-F803-482A-8773-56D483109192}" name="role_id" displayName="role_id" ref="A1:E13" totalsRowShown="0">
  <autoFilter ref="A1:E13" xr:uid="{F43C5E28-F803-482A-8773-56D483109192}"/>
  <tableColumns count="5">
    <tableColumn id="2" xr3:uid="{78147686-F092-4750-9687-620853FE8778}" name="role_name"/>
    <tableColumn id="1" xr3:uid="{EA830E03-38E8-487E-B358-511615DD2B4C}" name="role_id"/>
    <tableColumn id="3" xr3:uid="{68971B1B-77B7-4DEF-BF8B-28F2EDEC1481}" name="privilege_level"/>
    <tableColumn id="4" xr3:uid="{EA15EC5E-FD0C-447E-B290-EBFFEA2D579C}" name="description"/>
    <tableColumn id="5" xr3:uid="{3782EF30-7C17-4B80-960B-9E7815ACB551}" name="AD Group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446A-2914-420B-9D34-5BA6E7C7C394}">
  <dimension ref="A1:L35"/>
  <sheetViews>
    <sheetView tabSelected="1" topLeftCell="A7" workbookViewId="0">
      <selection activeCell="E25" sqref="E25"/>
    </sheetView>
  </sheetViews>
  <sheetFormatPr defaultRowHeight="15" x14ac:dyDescent="0.25"/>
  <cols>
    <col min="1" max="1" width="41.140625" customWidth="1"/>
    <col min="2" max="2" width="42.5703125" bestFit="1" customWidth="1"/>
    <col min="3" max="3" width="12.140625" customWidth="1"/>
    <col min="4" max="4" width="47.5703125" customWidth="1"/>
    <col min="5" max="5" width="41" customWidth="1"/>
    <col min="6" max="6" width="24.5703125" customWidth="1"/>
    <col min="7" max="7" width="9.42578125" hidden="1" customWidth="1"/>
    <col min="8" max="8" width="9.42578125" customWidth="1"/>
    <col min="9" max="9" width="18.140625" customWidth="1"/>
    <col min="10" max="10" width="10.5703125" customWidth="1"/>
    <col min="11" max="11" width="14.7109375" customWidth="1"/>
    <col min="12" max="12" width="42.85546875" customWidth="1"/>
  </cols>
  <sheetData>
    <row r="1" spans="1:12" s="10" customFormat="1" ht="45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8" t="s">
        <v>62</v>
      </c>
      <c r="H1" s="9" t="s">
        <v>145</v>
      </c>
      <c r="I1" s="9" t="s">
        <v>144</v>
      </c>
      <c r="J1" s="9" t="s">
        <v>139</v>
      </c>
      <c r="K1" s="9" t="s">
        <v>142</v>
      </c>
      <c r="L1" s="9" t="s">
        <v>143</v>
      </c>
    </row>
    <row r="2" spans="1:12" ht="16.5" x14ac:dyDescent="0.3">
      <c r="A2" t="s">
        <v>6</v>
      </c>
      <c r="B2" t="s">
        <v>7</v>
      </c>
      <c r="C2">
        <v>4</v>
      </c>
      <c r="D2" t="s">
        <v>8</v>
      </c>
      <c r="E2" s="2" t="s">
        <v>9</v>
      </c>
      <c r="F2" t="str">
        <f>IFERROR(VLOOKUP(TRIM(B2),Table6[],3,0),VLOOKUP(L2,Table6[],2,0))</f>
        <v>System Admin</v>
      </c>
      <c r="G2">
        <v>4</v>
      </c>
      <c r="H2" s="14" t="str">
        <f>IF(COUNTIF(tester_roles[Tester_Name],'Pre-prod'!A2)&gt;0,"Y","N")</f>
        <v>N</v>
      </c>
      <c r="I2" t="str">
        <f>IFERROR(VLOOKUP(A2,tester_roles[],2,0),"")</f>
        <v/>
      </c>
      <c r="J2" t="str">
        <f>IFERROR(VLOOKUP(A2,tester_roles[#All],5,0),"")</f>
        <v/>
      </c>
      <c r="K2" t="str">
        <f>IFERROR(VLOOKUP(I2,roles[],2,0),"")</f>
        <v/>
      </c>
      <c r="L2" s="13" t="str">
        <f>IFERROR(VLOOKUP(A2,tester_roles[],3,0),"")</f>
        <v/>
      </c>
    </row>
    <row r="3" spans="1:12" ht="16.5" x14ac:dyDescent="0.3">
      <c r="A3" t="s">
        <v>10</v>
      </c>
      <c r="B3" t="s">
        <v>7</v>
      </c>
      <c r="C3">
        <v>4</v>
      </c>
      <c r="D3" s="3" t="s">
        <v>11</v>
      </c>
      <c r="E3" s="2" t="s">
        <v>9</v>
      </c>
      <c r="F3" t="str">
        <f>IFERROR(VLOOKUP(TRIM(B3),Table6[],3,0),VLOOKUP(L3,Table6[],2,0))</f>
        <v>System Admin</v>
      </c>
      <c r="G3">
        <v>4</v>
      </c>
      <c r="H3" s="14" t="str">
        <f>IF(COUNTIF(tester_roles[Tester_Name],'Pre-prod'!A3)&gt;0,"Y","N")</f>
        <v>Y</v>
      </c>
      <c r="I3" t="str">
        <f>IFERROR(VLOOKUP(A3,tester_roles[],2,0),"")</f>
        <v>Teller</v>
      </c>
      <c r="J3">
        <f>IFERROR(VLOOKUP(A3,tester_roles[#All],5,0),"")</f>
        <v>2</v>
      </c>
      <c r="K3">
        <f>IFERROR(VLOOKUP(I3,roles[],2,0),"")</f>
        <v>1</v>
      </c>
      <c r="L3" s="13" t="str">
        <f>IFERROR(VLOOKUP(A3,tester_roles[],3,0),"")</f>
        <v>CTRL_PRE_APP_ClientIQ_Teller_RO</v>
      </c>
    </row>
    <row r="4" spans="1:12" ht="16.5" x14ac:dyDescent="0.3">
      <c r="A4" t="s">
        <v>12</v>
      </c>
      <c r="B4" t="s">
        <v>7</v>
      </c>
      <c r="C4">
        <v>4</v>
      </c>
      <c r="D4" s="3" t="s">
        <v>13</v>
      </c>
      <c r="E4" s="2" t="s">
        <v>9</v>
      </c>
      <c r="F4" t="str">
        <f>IFERROR(VLOOKUP(TRIM(B4),Table6[],3,0),VLOOKUP(L4,Table6[],2,0))</f>
        <v>System Admin</v>
      </c>
      <c r="G4">
        <v>4</v>
      </c>
      <c r="H4" s="14" t="str">
        <f>IF(COUNTIF(tester_roles[Tester_Name],'Pre-prod'!A4)&gt;0,"Y","N")</f>
        <v>N</v>
      </c>
      <c r="I4" t="str">
        <f>IFERROR(VLOOKUP(A4,tester_roles[],2,0),"")</f>
        <v/>
      </c>
      <c r="J4" t="str">
        <f>IFERROR(VLOOKUP(A4,tester_roles[#All],5,0),"")</f>
        <v/>
      </c>
      <c r="K4" t="str">
        <f>IFERROR(VLOOKUP(I4,roles[],2,0),"")</f>
        <v/>
      </c>
      <c r="L4" s="13" t="str">
        <f>IFERROR(VLOOKUP(A4,tester_roles[],3,0),"")</f>
        <v/>
      </c>
    </row>
    <row r="5" spans="1:12" ht="16.5" x14ac:dyDescent="0.3">
      <c r="A5" t="s">
        <v>14</v>
      </c>
      <c r="B5" t="s">
        <v>15</v>
      </c>
      <c r="C5">
        <v>3</v>
      </c>
      <c r="D5" s="3" t="s">
        <v>16</v>
      </c>
      <c r="E5" s="2" t="s">
        <v>9</v>
      </c>
      <c r="F5" t="str">
        <f>IFERROR(VLOOKUP(TRIM(B5),Table6[],3,0),VLOOKUP(L5,Table6[],2,0))</f>
        <v>Branch Manager</v>
      </c>
      <c r="G5">
        <v>3</v>
      </c>
      <c r="H5" s="14" t="str">
        <f>IF(COUNTIF(tester_roles[Tester_Name],'Pre-prod'!A5)&gt;0,"Y","N")</f>
        <v>N</v>
      </c>
      <c r="I5" t="str">
        <f>IFERROR(VLOOKUP(A5,tester_roles[],2,0),"")</f>
        <v/>
      </c>
      <c r="J5" t="str">
        <f>IFERROR(VLOOKUP(A5,tester_roles[#All],5,0),"")</f>
        <v/>
      </c>
      <c r="K5" t="str">
        <f>IFERROR(VLOOKUP(I5,roles[],2,0),"")</f>
        <v/>
      </c>
      <c r="L5" s="13" t="str">
        <f>IFERROR(VLOOKUP(A5,tester_roles[],3,0),"")</f>
        <v/>
      </c>
    </row>
    <row r="6" spans="1:12" ht="16.5" x14ac:dyDescent="0.3">
      <c r="A6" t="s">
        <v>17</v>
      </c>
      <c r="B6" t="s">
        <v>15</v>
      </c>
      <c r="C6">
        <v>3</v>
      </c>
      <c r="D6" s="3" t="s">
        <v>18</v>
      </c>
      <c r="E6" s="2" t="s">
        <v>9</v>
      </c>
      <c r="F6" t="str">
        <f>IFERROR(VLOOKUP(TRIM(B6),Table6[],3,0),VLOOKUP(L6,Table6[],2,0))</f>
        <v>Branch Manager</v>
      </c>
      <c r="G6">
        <v>3</v>
      </c>
      <c r="H6" s="14" t="str">
        <f>IF(COUNTIF(tester_roles[Tester_Name],'Pre-prod'!A6)&gt;0,"Y","N")</f>
        <v>Y</v>
      </c>
      <c r="I6" t="str">
        <f>IFERROR(VLOOKUP(A6,tester_roles[],2,0),"")</f>
        <v>Teller</v>
      </c>
      <c r="J6">
        <f>IFERROR(VLOOKUP(A6,tester_roles[#All],5,0),"")</f>
        <v>2</v>
      </c>
      <c r="K6">
        <f>IFERROR(VLOOKUP(I6,roles[],2,0),"")</f>
        <v>1</v>
      </c>
      <c r="L6" s="13" t="str">
        <f>IFERROR(VLOOKUP(A6,tester_roles[],3,0),"")</f>
        <v>CTRL_PRE_APP_ClientIQ_Teller_RO</v>
      </c>
    </row>
    <row r="7" spans="1:12" ht="16.5" x14ac:dyDescent="0.3">
      <c r="A7" t="s">
        <v>19</v>
      </c>
      <c r="B7" t="s">
        <v>7</v>
      </c>
      <c r="C7">
        <v>4</v>
      </c>
      <c r="D7" s="3" t="s">
        <v>20</v>
      </c>
      <c r="E7" s="2" t="s">
        <v>9</v>
      </c>
      <c r="F7" t="str">
        <f>IFERROR(VLOOKUP(TRIM(B7),Table6[],3,0),VLOOKUP(L7,Table6[],2,0))</f>
        <v>System Admin</v>
      </c>
      <c r="G7">
        <v>4</v>
      </c>
      <c r="H7" s="14" t="str">
        <f>IF(COUNTIF(tester_roles[Tester_Name],'Pre-prod'!A7)&gt;0,"Y","N")</f>
        <v>Y</v>
      </c>
      <c r="I7" t="str">
        <f>IFERROR(VLOOKUP(A7,tester_roles[],2,0),"")</f>
        <v>Risk Analyst</v>
      </c>
      <c r="J7">
        <f>IFERROR(VLOOKUP(A7,tester_roles[#All],5,0),"")</f>
        <v>11</v>
      </c>
      <c r="K7">
        <f>IFERROR(VLOOKUP(I7,roles[],2,0),"")</f>
        <v>1</v>
      </c>
      <c r="L7" s="13" t="str">
        <f>IFERROR(VLOOKUP(A7,tester_roles[],3,0),"")</f>
        <v>CTRL_PRE_APP_ClientIQ_Risk_RO</v>
      </c>
    </row>
    <row r="8" spans="1:12" ht="16.5" x14ac:dyDescent="0.3">
      <c r="A8" t="s">
        <v>21</v>
      </c>
      <c r="B8" t="s">
        <v>7</v>
      </c>
      <c r="C8">
        <v>4</v>
      </c>
      <c r="D8" s="3" t="s">
        <v>22</v>
      </c>
      <c r="E8" s="2" t="s">
        <v>9</v>
      </c>
      <c r="F8" t="str">
        <f>IFERROR(VLOOKUP(TRIM(B8),Table6[],3,0),VLOOKUP(L8,Table6[],2,0))</f>
        <v>System Admin</v>
      </c>
      <c r="G8">
        <v>4</v>
      </c>
      <c r="H8" s="14" t="str">
        <f>IF(COUNTIF(tester_roles[Tester_Name],'Pre-prod'!A8)&gt;0,"Y","N")</f>
        <v>Y</v>
      </c>
      <c r="I8" t="str">
        <f>IFERROR(VLOOKUP(A8,tester_roles[],2,0),"")</f>
        <v>BRS</v>
      </c>
      <c r="J8">
        <f>IFERROR(VLOOKUP(A8,tester_roles[#All],5,0),"")</f>
        <v>3</v>
      </c>
      <c r="K8" t="str">
        <f>IFERROR(VLOOKUP(I8,roles[],2,0),"")</f>
        <v/>
      </c>
      <c r="L8" s="13" t="str">
        <f>IFERROR(VLOOKUP(A8,tester_roles[],3,0),"")</f>
        <v>CTRL_PRE_APP_ClientIQ_BusinessBanker_RW</v>
      </c>
    </row>
    <row r="9" spans="1:12" ht="16.5" x14ac:dyDescent="0.3">
      <c r="A9" t="s">
        <v>23</v>
      </c>
      <c r="B9" t="s">
        <v>15</v>
      </c>
      <c r="C9">
        <v>3</v>
      </c>
      <c r="D9" s="3" t="s">
        <v>24</v>
      </c>
      <c r="E9" s="2" t="s">
        <v>9</v>
      </c>
      <c r="F9" t="str">
        <f>IFERROR(VLOOKUP(TRIM(B9),Table6[],3,0),VLOOKUP(L9,Table6[],2,0))</f>
        <v>Branch Manager</v>
      </c>
      <c r="G9">
        <v>3</v>
      </c>
      <c r="H9" s="14" t="str">
        <f>IF(COUNTIF(tester_roles[Tester_Name],'Pre-prod'!A9)&gt;0,"Y","N")</f>
        <v>Y</v>
      </c>
      <c r="I9" t="str">
        <f>IFERROR(VLOOKUP(A9,tester_roles[],2,0),"")</f>
        <v>Branch Manager</v>
      </c>
      <c r="J9">
        <f>IFERROR(VLOOKUP(A9,tester_roles[#All],5,0),"")</f>
        <v>4</v>
      </c>
      <c r="K9">
        <f>IFERROR(VLOOKUP(I9,roles[],2,0),"")</f>
        <v>3</v>
      </c>
      <c r="L9" s="13" t="str">
        <f>IFERROR(VLOOKUP(A9,tester_roles[],3,0),"")</f>
        <v>CTRL_PRE_APP_ClientIQ_BranchManager_MOD</v>
      </c>
    </row>
    <row r="10" spans="1:12" ht="16.5" x14ac:dyDescent="0.3">
      <c r="A10" t="s">
        <v>25</v>
      </c>
      <c r="B10" t="s">
        <v>15</v>
      </c>
      <c r="C10">
        <v>3</v>
      </c>
      <c r="D10" s="3" t="s">
        <v>26</v>
      </c>
      <c r="E10" s="2" t="s">
        <v>9</v>
      </c>
      <c r="F10" t="str">
        <f>IFERROR(VLOOKUP(TRIM(B10),Table6[],3,0),VLOOKUP(L10,Table6[],2,0))</f>
        <v>Branch Manager</v>
      </c>
      <c r="G10">
        <v>3</v>
      </c>
      <c r="H10" s="14" t="str">
        <f>IF(COUNTIF(tester_roles[Tester_Name],'Pre-prod'!A10)&gt;0,"Y","N")</f>
        <v>N</v>
      </c>
      <c r="I10" t="str">
        <f>IFERROR(VLOOKUP(A10,tester_roles[],2,0),"")</f>
        <v/>
      </c>
      <c r="J10" t="str">
        <f>IFERROR(VLOOKUP(A10,tester_roles[#All],5,0),"")</f>
        <v/>
      </c>
      <c r="K10" t="str">
        <f>IFERROR(VLOOKUP(I10,roles[],2,0),"")</f>
        <v/>
      </c>
      <c r="L10" s="13" t="str">
        <f>IFERROR(VLOOKUP(A10,tester_roles[],3,0),"")</f>
        <v/>
      </c>
    </row>
    <row r="11" spans="1:12" ht="16.5" x14ac:dyDescent="0.3">
      <c r="A11" t="s">
        <v>27</v>
      </c>
      <c r="B11" t="s">
        <v>7</v>
      </c>
      <c r="C11">
        <v>4</v>
      </c>
      <c r="D11" s="3" t="s">
        <v>28</v>
      </c>
      <c r="E11" s="2" t="s">
        <v>9</v>
      </c>
      <c r="F11" t="str">
        <f>IFERROR(VLOOKUP(TRIM(B11),Table6[],3,0),VLOOKUP(L11,Table6[],2,0))</f>
        <v>System Admin</v>
      </c>
      <c r="G11">
        <v>4</v>
      </c>
      <c r="H11" s="14" t="str">
        <f>IF(COUNTIF(tester_roles[Tester_Name],'Pre-prod'!A11)&gt;0,"Y","N")</f>
        <v>N</v>
      </c>
      <c r="I11" t="str">
        <f>IFERROR(VLOOKUP(A11,tester_roles[],2,0),"")</f>
        <v/>
      </c>
      <c r="J11" t="str">
        <f>IFERROR(VLOOKUP(A11,tester_roles[#All],5,0),"")</f>
        <v/>
      </c>
      <c r="K11" t="str">
        <f>IFERROR(VLOOKUP(I11,roles[],2,0),"")</f>
        <v/>
      </c>
      <c r="L11" s="13" t="str">
        <f>IFERROR(VLOOKUP(A11,tester_roles[],3,0),"")</f>
        <v/>
      </c>
    </row>
    <row r="12" spans="1:12" ht="16.5" x14ac:dyDescent="0.3">
      <c r="A12" t="s">
        <v>29</v>
      </c>
      <c r="B12" t="s">
        <v>7</v>
      </c>
      <c r="C12">
        <v>4</v>
      </c>
      <c r="D12" s="3" t="s">
        <v>30</v>
      </c>
      <c r="E12" s="2" t="s">
        <v>9</v>
      </c>
      <c r="F12" t="str">
        <f>IFERROR(VLOOKUP(TRIM(B12),Table6[],3,0),VLOOKUP(L12,Table6[],2,0))</f>
        <v>System Admin</v>
      </c>
      <c r="G12">
        <v>4</v>
      </c>
      <c r="H12" s="14" t="str">
        <f>IF(COUNTIF(tester_roles[Tester_Name],'Pre-prod'!A12)&gt;0,"Y","N")</f>
        <v>N</v>
      </c>
      <c r="I12" t="str">
        <f>IFERROR(VLOOKUP(A12,tester_roles[],2,0),"")</f>
        <v/>
      </c>
      <c r="J12" t="str">
        <f>IFERROR(VLOOKUP(A12,tester_roles[#All],5,0),"")</f>
        <v/>
      </c>
      <c r="K12" t="str">
        <f>IFERROR(VLOOKUP(I12,roles[],2,0),"")</f>
        <v/>
      </c>
      <c r="L12" s="13" t="str">
        <f>IFERROR(VLOOKUP(A12,tester_roles[],3,0),"")</f>
        <v/>
      </c>
    </row>
    <row r="13" spans="1:12" ht="16.5" x14ac:dyDescent="0.3">
      <c r="A13" t="s">
        <v>31</v>
      </c>
      <c r="B13" t="s">
        <v>7</v>
      </c>
      <c r="C13">
        <v>4</v>
      </c>
      <c r="D13" s="3" t="s">
        <v>32</v>
      </c>
      <c r="E13" s="2" t="s">
        <v>9</v>
      </c>
      <c r="F13" t="str">
        <f>IFERROR(VLOOKUP(TRIM(B13),Table6[],3,0),VLOOKUP(L13,Table6[],2,0))</f>
        <v>System Admin</v>
      </c>
      <c r="G13">
        <v>4</v>
      </c>
      <c r="H13" s="14" t="str">
        <f>IF(COUNTIF(tester_roles[Tester_Name],'Pre-prod'!A13)&gt;0,"Y","N")</f>
        <v>Y</v>
      </c>
      <c r="I13" t="str">
        <f>IFERROR(VLOOKUP(A13,tester_roles[],2,0),"")</f>
        <v>Teller</v>
      </c>
      <c r="J13">
        <f>IFERROR(VLOOKUP(A13,tester_roles[#All],5,0),"")</f>
        <v>2</v>
      </c>
      <c r="K13">
        <f>IFERROR(VLOOKUP(I13,roles[],2,0),"")</f>
        <v>1</v>
      </c>
      <c r="L13" s="13" t="str">
        <f>IFERROR(VLOOKUP(A13,tester_roles[],3,0),"")</f>
        <v>CTRL_PRE_APP_ClientIQ_Teller_RO</v>
      </c>
    </row>
    <row r="14" spans="1:12" ht="16.5" x14ac:dyDescent="0.3">
      <c r="A14" t="s">
        <v>33</v>
      </c>
      <c r="B14" t="s">
        <v>15</v>
      </c>
      <c r="C14">
        <v>3</v>
      </c>
      <c r="D14" s="4" t="s">
        <v>34</v>
      </c>
      <c r="E14" s="2" t="s">
        <v>9</v>
      </c>
      <c r="F14" t="str">
        <f>IFERROR(VLOOKUP(TRIM(B14),Table6[],3,0),VLOOKUP(L14,Table6[],2,0))</f>
        <v>Branch Manager</v>
      </c>
      <c r="G14">
        <v>3</v>
      </c>
      <c r="H14" s="14" t="str">
        <f>IF(COUNTIF(tester_roles[Tester_Name],'Pre-prod'!A14)&gt;0,"Y","N")</f>
        <v>N</v>
      </c>
      <c r="I14" t="str">
        <f>IFERROR(VLOOKUP(A14,tester_roles[],2,0),"")</f>
        <v/>
      </c>
      <c r="J14" t="str">
        <f>IFERROR(VLOOKUP(A14,tester_roles[#All],5,0),"")</f>
        <v/>
      </c>
      <c r="K14" t="str">
        <f>IFERROR(VLOOKUP(I14,roles[],2,0),"")</f>
        <v/>
      </c>
      <c r="L14" s="13" t="str">
        <f>IFERROR(VLOOKUP(A14,tester_roles[],3,0),"")</f>
        <v/>
      </c>
    </row>
    <row r="15" spans="1:12" ht="16.5" x14ac:dyDescent="0.3">
      <c r="A15" t="s">
        <v>35</v>
      </c>
      <c r="B15" t="s">
        <v>15</v>
      </c>
      <c r="C15">
        <v>3</v>
      </c>
      <c r="D15" s="4" t="s">
        <v>34</v>
      </c>
      <c r="E15" s="2" t="s">
        <v>9</v>
      </c>
      <c r="F15" t="str">
        <f>IFERROR(VLOOKUP(TRIM(B15),Table6[],3,0),VLOOKUP(L15,Table6[],2,0))</f>
        <v>Branch Manager</v>
      </c>
      <c r="G15">
        <v>3</v>
      </c>
      <c r="H15" s="14" t="str">
        <f>IF(COUNTIF(tester_roles[Tester_Name],'Pre-prod'!A15)&gt;0,"Y","N")</f>
        <v>N</v>
      </c>
      <c r="I15" t="str">
        <f>IFERROR(VLOOKUP(A15,tester_roles[],2,0),"")</f>
        <v/>
      </c>
      <c r="J15" t="str">
        <f>IFERROR(VLOOKUP(A15,tester_roles[#All],5,0),"")</f>
        <v/>
      </c>
      <c r="K15" t="str">
        <f>IFERROR(VLOOKUP(I15,roles[],2,0),"")</f>
        <v/>
      </c>
      <c r="L15" s="13" t="str">
        <f>IFERROR(VLOOKUP(A15,tester_roles[],3,0),"")</f>
        <v/>
      </c>
    </row>
    <row r="16" spans="1:12" ht="16.5" x14ac:dyDescent="0.3">
      <c r="A16" t="s">
        <v>36</v>
      </c>
      <c r="B16" t="s">
        <v>37</v>
      </c>
      <c r="C16">
        <v>1</v>
      </c>
      <c r="D16" s="4" t="s">
        <v>38</v>
      </c>
      <c r="E16" s="2" t="s">
        <v>9</v>
      </c>
      <c r="F16" t="str">
        <f>IFERROR(VLOOKUP(TRIM(B16),Table6[],3,0),VLOOKUP(L16,Table6[],2,0))</f>
        <v>Teller</v>
      </c>
      <c r="G16">
        <v>1</v>
      </c>
      <c r="H16" s="14" t="str">
        <f>IF(COUNTIF(tester_roles[Tester_Name],'Pre-prod'!A16)&gt;0,"Y","N")</f>
        <v>N</v>
      </c>
      <c r="I16" t="str">
        <f>IFERROR(VLOOKUP(A16,tester_roles[],2,0),"")</f>
        <v/>
      </c>
      <c r="J16" t="str">
        <f>IFERROR(VLOOKUP(A16,tester_roles[#All],5,0),"")</f>
        <v/>
      </c>
      <c r="K16" t="str">
        <f>IFERROR(VLOOKUP(I16,roles[],2,0),"")</f>
        <v/>
      </c>
      <c r="L16" s="13" t="str">
        <f>IFERROR(VLOOKUP(A16,tester_roles[],3,0),"")</f>
        <v/>
      </c>
    </row>
    <row r="17" spans="1:12" ht="16.5" x14ac:dyDescent="0.3">
      <c r="A17" t="s">
        <v>39</v>
      </c>
      <c r="B17" t="s">
        <v>40</v>
      </c>
      <c r="C17">
        <v>2</v>
      </c>
      <c r="D17" s="4" t="s">
        <v>41</v>
      </c>
      <c r="E17" s="2" t="s">
        <v>9</v>
      </c>
      <c r="F17" t="str">
        <f>IFERROR(VLOOKUP(TRIM(B17),Table6[],3,0),VLOOKUP(L17,Table6[],2,0))</f>
        <v>BRS</v>
      </c>
      <c r="G17">
        <v>2</v>
      </c>
      <c r="H17" s="14" t="str">
        <f>IF(COUNTIF(tester_roles[Tester_Name],'Pre-prod'!A17)&gt;0,"Y","N")</f>
        <v>N</v>
      </c>
      <c r="I17" t="str">
        <f>IFERROR(VLOOKUP(A17,tester_roles[],2,0),"")</f>
        <v/>
      </c>
      <c r="J17" t="str">
        <f>IFERROR(VLOOKUP(A17,tester_roles[#All],5,0),"")</f>
        <v/>
      </c>
      <c r="K17" t="str">
        <f>IFERROR(VLOOKUP(I17,roles[],2,0),"")</f>
        <v/>
      </c>
      <c r="L17" s="13" t="str">
        <f>IFERROR(VLOOKUP(A17,tester_roles[],3,0),"")</f>
        <v/>
      </c>
    </row>
    <row r="18" spans="1:12" ht="16.5" x14ac:dyDescent="0.3">
      <c r="A18" t="s">
        <v>42</v>
      </c>
      <c r="B18" t="s">
        <v>40</v>
      </c>
      <c r="C18">
        <v>2</v>
      </c>
      <c r="D18" s="4" t="s">
        <v>43</v>
      </c>
      <c r="E18" s="2" t="s">
        <v>9</v>
      </c>
      <c r="F18" t="str">
        <f>IFERROR(VLOOKUP(TRIM(B18),Table6[],3,0),VLOOKUP(L18,Table6[],2,0))</f>
        <v>BRS</v>
      </c>
      <c r="G18">
        <v>2</v>
      </c>
      <c r="H18" s="14" t="str">
        <f>IF(COUNTIF(tester_roles[Tester_Name],'Pre-prod'!A18)&gt;0,"Y","N")</f>
        <v>N</v>
      </c>
      <c r="I18" t="str">
        <f>IFERROR(VLOOKUP(A18,tester_roles[],2,0),"")</f>
        <v/>
      </c>
      <c r="J18" t="str">
        <f>IFERROR(VLOOKUP(A18,tester_roles[#All],5,0),"")</f>
        <v/>
      </c>
      <c r="K18" t="str">
        <f>IFERROR(VLOOKUP(I18,roles[],2,0),"")</f>
        <v/>
      </c>
      <c r="L18" s="13" t="str">
        <f>IFERROR(VLOOKUP(A18,tester_roles[],3,0),"")</f>
        <v/>
      </c>
    </row>
    <row r="19" spans="1:12" ht="16.5" x14ac:dyDescent="0.3">
      <c r="A19" t="s">
        <v>44</v>
      </c>
      <c r="B19" t="s">
        <v>15</v>
      </c>
      <c r="C19">
        <v>3</v>
      </c>
      <c r="D19" s="5" t="s">
        <v>34</v>
      </c>
      <c r="E19" s="2" t="s">
        <v>9</v>
      </c>
      <c r="F19" t="str">
        <f>IFERROR(VLOOKUP(TRIM(B19),Table6[],3,0),VLOOKUP(L19,Table6[],2,0))</f>
        <v>Branch Manager</v>
      </c>
      <c r="G19">
        <v>3</v>
      </c>
      <c r="H19" s="14" t="str">
        <f>IF(COUNTIF(tester_roles[Tester_Name],'Pre-prod'!A19)&gt;0,"Y","N")</f>
        <v>N</v>
      </c>
      <c r="I19" t="str">
        <f>IFERROR(VLOOKUP(A19,tester_roles[],2,0),"")</f>
        <v/>
      </c>
      <c r="J19" t="str">
        <f>IFERROR(VLOOKUP(A19,tester_roles[#All],5,0),"")</f>
        <v/>
      </c>
      <c r="K19" t="str">
        <f>IFERROR(VLOOKUP(I19,roles[],2,0),"")</f>
        <v/>
      </c>
      <c r="L19" s="13" t="str">
        <f>IFERROR(VLOOKUP(A19,tester_roles[],3,0),"")</f>
        <v/>
      </c>
    </row>
    <row r="20" spans="1:12" ht="16.5" x14ac:dyDescent="0.3">
      <c r="A20" t="s">
        <v>45</v>
      </c>
      <c r="B20" t="s">
        <v>15</v>
      </c>
      <c r="C20">
        <v>3</v>
      </c>
      <c r="D20" s="5" t="s">
        <v>34</v>
      </c>
      <c r="E20" s="2" t="s">
        <v>9</v>
      </c>
      <c r="F20" t="str">
        <f>IFERROR(VLOOKUP(TRIM(B20),Table6[],3,0),VLOOKUP(L20,Table6[],2,0))</f>
        <v>Branch Manager</v>
      </c>
      <c r="G20">
        <v>3</v>
      </c>
      <c r="H20" s="14" t="str">
        <f>IF(COUNTIF(tester_roles[Tester_Name],'Pre-prod'!A20)&gt;0,"Y","N")</f>
        <v>N</v>
      </c>
      <c r="I20" t="str">
        <f>IFERROR(VLOOKUP(A20,tester_roles[],2,0),"")</f>
        <v/>
      </c>
      <c r="J20" t="str">
        <f>IFERROR(VLOOKUP(A20,tester_roles[#All],5,0),"")</f>
        <v/>
      </c>
      <c r="K20" t="str">
        <f>IFERROR(VLOOKUP(I20,roles[],2,0),"")</f>
        <v/>
      </c>
      <c r="L20" s="13" t="str">
        <f>IFERROR(VLOOKUP(A20,tester_roles[],3,0),"")</f>
        <v/>
      </c>
    </row>
    <row r="21" spans="1:12" ht="16.5" x14ac:dyDescent="0.3">
      <c r="A21" t="s">
        <v>46</v>
      </c>
      <c r="B21" t="s">
        <v>40</v>
      </c>
      <c r="C21">
        <v>2</v>
      </c>
      <c r="D21" s="4" t="s">
        <v>41</v>
      </c>
      <c r="E21" s="2" t="s">
        <v>9</v>
      </c>
      <c r="F21" t="str">
        <f>IFERROR(VLOOKUP(TRIM(B21),Table6[],3,0),VLOOKUP(L21,Table6[],2,0))</f>
        <v>BRS</v>
      </c>
      <c r="G21">
        <v>2</v>
      </c>
      <c r="H21" s="14" t="str">
        <f>IF(COUNTIF(tester_roles[Tester_Name],'Pre-prod'!A21)&gt;0,"Y","N")</f>
        <v>N</v>
      </c>
      <c r="I21" t="str">
        <f>IFERROR(VLOOKUP(A21,tester_roles[],2,0),"")</f>
        <v/>
      </c>
      <c r="J21" t="str">
        <f>IFERROR(VLOOKUP(A21,tester_roles[#All],5,0),"")</f>
        <v/>
      </c>
      <c r="K21" t="str">
        <f>IFERROR(VLOOKUP(I21,roles[],2,0),"")</f>
        <v/>
      </c>
      <c r="L21" s="13" t="str">
        <f>IFERROR(VLOOKUP(A21,tester_roles[],3,0),"")</f>
        <v/>
      </c>
    </row>
    <row r="22" spans="1:12" ht="16.5" x14ac:dyDescent="0.3">
      <c r="A22" t="s">
        <v>47</v>
      </c>
      <c r="B22" t="s">
        <v>15</v>
      </c>
      <c r="C22">
        <v>3</v>
      </c>
      <c r="D22" s="5" t="s">
        <v>48</v>
      </c>
      <c r="E22" s="2" t="s">
        <v>9</v>
      </c>
      <c r="F22" t="str">
        <f>IFERROR(VLOOKUP(TRIM(B22),Table6[],3,0),VLOOKUP(L22,Table6[],2,0))</f>
        <v>Branch Manager</v>
      </c>
      <c r="G22">
        <v>3</v>
      </c>
      <c r="H22" s="14" t="str">
        <f>IF(COUNTIF(tester_roles[Tester_Name],'Pre-prod'!A22)&gt;0,"Y","N")</f>
        <v>N</v>
      </c>
      <c r="I22" t="str">
        <f>IFERROR(VLOOKUP(A22,tester_roles[],2,0),"")</f>
        <v/>
      </c>
      <c r="J22" t="str">
        <f>IFERROR(VLOOKUP(A22,tester_roles[#All],5,0),"")</f>
        <v/>
      </c>
      <c r="K22" t="str">
        <f>IFERROR(VLOOKUP(I22,roles[],2,0),"")</f>
        <v/>
      </c>
      <c r="L22" s="13" t="str">
        <f>IFERROR(VLOOKUP(A22,tester_roles[],3,0),"")</f>
        <v/>
      </c>
    </row>
    <row r="23" spans="1:12" ht="16.5" x14ac:dyDescent="0.3">
      <c r="A23" t="s">
        <v>49</v>
      </c>
      <c r="B23" t="s">
        <v>15</v>
      </c>
      <c r="C23">
        <v>3</v>
      </c>
      <c r="D23" s="5" t="s">
        <v>34</v>
      </c>
      <c r="E23" s="2" t="s">
        <v>9</v>
      </c>
      <c r="F23" t="str">
        <f>IFERROR(VLOOKUP(TRIM(B23),Table6[],3,0),VLOOKUP(L23,Table6[],2,0))</f>
        <v>Branch Manager</v>
      </c>
      <c r="G23">
        <v>3</v>
      </c>
      <c r="H23" s="14" t="str">
        <f>IF(COUNTIF(tester_roles[Tester_Name],'Pre-prod'!A23)&gt;0,"Y","N")</f>
        <v>N</v>
      </c>
      <c r="I23" t="str">
        <f>IFERROR(VLOOKUP(A23,tester_roles[],2,0),"")</f>
        <v/>
      </c>
      <c r="J23" t="str">
        <f>IFERROR(VLOOKUP(A23,tester_roles[#All],5,0),"")</f>
        <v/>
      </c>
      <c r="K23" t="str">
        <f>IFERROR(VLOOKUP(I23,roles[],2,0),"")</f>
        <v/>
      </c>
      <c r="L23" s="13" t="str">
        <f>IFERROR(VLOOKUP(A23,tester_roles[],3,0),"")</f>
        <v/>
      </c>
    </row>
    <row r="24" spans="1:12" ht="16.5" x14ac:dyDescent="0.3">
      <c r="A24" t="s">
        <v>50</v>
      </c>
      <c r="B24" t="s">
        <v>15</v>
      </c>
      <c r="C24">
        <v>3</v>
      </c>
      <c r="D24" s="5" t="s">
        <v>34</v>
      </c>
      <c r="E24" s="2" t="s">
        <v>9</v>
      </c>
      <c r="F24" t="str">
        <f>IFERROR(VLOOKUP(TRIM(B24),Table6[],3,0),VLOOKUP(L24,Table6[],2,0))</f>
        <v>Branch Manager</v>
      </c>
      <c r="G24">
        <v>3</v>
      </c>
      <c r="H24" s="14" t="str">
        <f>IF(COUNTIF(tester_roles[Tester_Name],'Pre-prod'!A24)&gt;0,"Y","N")</f>
        <v>N</v>
      </c>
      <c r="I24" t="str">
        <f>IFERROR(VLOOKUP(A24,tester_roles[],2,0),"")</f>
        <v/>
      </c>
      <c r="J24" t="str">
        <f>IFERROR(VLOOKUP(A24,tester_roles[#All],5,0),"")</f>
        <v/>
      </c>
      <c r="K24" t="str">
        <f>IFERROR(VLOOKUP(I24,roles[],2,0),"")</f>
        <v/>
      </c>
      <c r="L24" s="13" t="str">
        <f>IFERROR(VLOOKUP(A24,tester_roles[],3,0),"")</f>
        <v/>
      </c>
    </row>
    <row r="25" spans="1:12" ht="16.5" x14ac:dyDescent="0.3">
      <c r="A25" t="s">
        <v>51</v>
      </c>
      <c r="B25" t="s">
        <v>40</v>
      </c>
      <c r="C25">
        <v>2</v>
      </c>
      <c r="D25" s="5" t="s">
        <v>52</v>
      </c>
      <c r="E25" s="2" t="s">
        <v>9</v>
      </c>
      <c r="F25" t="str">
        <f>IFERROR(VLOOKUP(TRIM(B25),Table6[],3,0),VLOOKUP(L25,Table6[],2,0))</f>
        <v>BRS</v>
      </c>
      <c r="G25">
        <v>2</v>
      </c>
      <c r="H25" s="14" t="str">
        <f>IF(COUNTIF(tester_roles[Tester_Name],'Pre-prod'!A25)&gt;0,"Y","N")</f>
        <v>N</v>
      </c>
      <c r="I25" t="str">
        <f>IFERROR(VLOOKUP(A25,tester_roles[],2,0),"")</f>
        <v/>
      </c>
      <c r="J25" t="str">
        <f>IFERROR(VLOOKUP(A25,tester_roles[#All],5,0),"")</f>
        <v/>
      </c>
      <c r="K25" t="str">
        <f>IFERROR(VLOOKUP(I25,roles[],2,0),"")</f>
        <v/>
      </c>
      <c r="L25" s="13" t="str">
        <f>IFERROR(VLOOKUP(A25,tester_roles[],3,0),"")</f>
        <v/>
      </c>
    </row>
    <row r="26" spans="1:12" ht="16.5" x14ac:dyDescent="0.3">
      <c r="A26" t="s">
        <v>53</v>
      </c>
      <c r="B26" t="s">
        <v>40</v>
      </c>
      <c r="C26">
        <v>2</v>
      </c>
      <c r="D26" s="4" t="s">
        <v>41</v>
      </c>
      <c r="E26" s="2" t="s">
        <v>9</v>
      </c>
      <c r="F26" t="str">
        <f>IFERROR(VLOOKUP(TRIM(B26),Table6[],3,0),VLOOKUP(L26,Table6[],2,0))</f>
        <v>BRS</v>
      </c>
      <c r="G26">
        <v>2</v>
      </c>
      <c r="H26" s="14" t="str">
        <f>IF(COUNTIF(tester_roles[Tester_Name],'Pre-prod'!A26)&gt;0,"Y","N")</f>
        <v>N</v>
      </c>
      <c r="I26" t="str">
        <f>IFERROR(VLOOKUP(A26,tester_roles[],2,0),"")</f>
        <v/>
      </c>
      <c r="J26" t="str">
        <f>IFERROR(VLOOKUP(A26,tester_roles[#All],5,0),"")</f>
        <v/>
      </c>
      <c r="K26" t="str">
        <f>IFERROR(VLOOKUP(I26,roles[],2,0),"")</f>
        <v/>
      </c>
      <c r="L26" s="13" t="str">
        <f>IFERROR(VLOOKUP(A26,tester_roles[],3,0),"")</f>
        <v/>
      </c>
    </row>
    <row r="27" spans="1:12" ht="16.5" x14ac:dyDescent="0.3">
      <c r="A27" t="s">
        <v>54</v>
      </c>
      <c r="B27" t="s">
        <v>15</v>
      </c>
      <c r="C27">
        <v>3</v>
      </c>
      <c r="D27" s="5" t="s">
        <v>55</v>
      </c>
      <c r="E27" s="2" t="s">
        <v>9</v>
      </c>
      <c r="F27" t="str">
        <f>IFERROR(VLOOKUP(TRIM(B27),Table6[],3,0),VLOOKUP(L27,Table6[],2,0))</f>
        <v>Branch Manager</v>
      </c>
      <c r="G27">
        <v>3</v>
      </c>
      <c r="H27" s="14" t="str">
        <f>IF(COUNTIF(tester_roles[Tester_Name],'Pre-prod'!A27)&gt;0,"Y","N")</f>
        <v>N</v>
      </c>
      <c r="I27" t="str">
        <f>IFERROR(VLOOKUP(A27,tester_roles[],2,0),"")</f>
        <v/>
      </c>
      <c r="J27" t="str">
        <f>IFERROR(VLOOKUP(A27,tester_roles[#All],5,0),"")</f>
        <v/>
      </c>
      <c r="K27" t="str">
        <f>IFERROR(VLOOKUP(I27,roles[],2,0),"")</f>
        <v/>
      </c>
      <c r="L27" s="13" t="str">
        <f>IFERROR(VLOOKUP(A27,tester_roles[],3,0),"")</f>
        <v/>
      </c>
    </row>
    <row r="28" spans="1:12" ht="16.5" x14ac:dyDescent="0.3">
      <c r="A28" t="s">
        <v>56</v>
      </c>
      <c r="B28" t="s">
        <v>15</v>
      </c>
      <c r="C28">
        <v>3</v>
      </c>
      <c r="D28" s="5" t="s">
        <v>55</v>
      </c>
      <c r="E28" s="2" t="s">
        <v>9</v>
      </c>
      <c r="F28" t="str">
        <f>IFERROR(VLOOKUP(TRIM(B28),Table6[],3,0),VLOOKUP(L28,Table6[],2,0))</f>
        <v>Branch Manager</v>
      </c>
      <c r="G28">
        <v>3</v>
      </c>
      <c r="H28" s="14" t="str">
        <f>IF(COUNTIF(tester_roles[Tester_Name],'Pre-prod'!A28)&gt;0,"Y","N")</f>
        <v>N</v>
      </c>
      <c r="I28" t="str">
        <f>IFERROR(VLOOKUP(A28,tester_roles[],2,0),"")</f>
        <v/>
      </c>
      <c r="J28" t="str">
        <f>IFERROR(VLOOKUP(A28,tester_roles[#All],5,0),"")</f>
        <v/>
      </c>
      <c r="K28" t="str">
        <f>IFERROR(VLOOKUP(I28,roles[],2,0),"")</f>
        <v/>
      </c>
      <c r="L28" s="13" t="str">
        <f>IFERROR(VLOOKUP(A28,tester_roles[],3,0),"")</f>
        <v/>
      </c>
    </row>
    <row r="29" spans="1:12" ht="16.5" x14ac:dyDescent="0.3">
      <c r="A29" t="s">
        <v>57</v>
      </c>
      <c r="B29" t="s">
        <v>15</v>
      </c>
      <c r="C29">
        <v>3</v>
      </c>
      <c r="D29" s="5" t="s">
        <v>55</v>
      </c>
      <c r="E29" s="2" t="s">
        <v>9</v>
      </c>
      <c r="F29" t="str">
        <f>IFERROR(VLOOKUP(TRIM(B29),Table6[],3,0),VLOOKUP(L29,Table6[],2,0))</f>
        <v>Branch Manager</v>
      </c>
      <c r="G29">
        <v>3</v>
      </c>
      <c r="H29" s="14" t="str">
        <f>IF(COUNTIF(tester_roles[Tester_Name],'Pre-prod'!A29)&gt;0,"Y","N")</f>
        <v>N</v>
      </c>
      <c r="I29" t="str">
        <f>IFERROR(VLOOKUP(A29,tester_roles[],2,0),"")</f>
        <v/>
      </c>
      <c r="J29" t="str">
        <f>IFERROR(VLOOKUP(A29,tester_roles[#All],5,0),"")</f>
        <v/>
      </c>
      <c r="K29" t="str">
        <f>IFERROR(VLOOKUP(I29,roles[],2,0),"")</f>
        <v/>
      </c>
      <c r="L29" s="13" t="str">
        <f>IFERROR(VLOOKUP(A29,tester_roles[],3,0),"")</f>
        <v/>
      </c>
    </row>
    <row r="30" spans="1:12" ht="16.5" x14ac:dyDescent="0.3">
      <c r="A30" t="s">
        <v>58</v>
      </c>
      <c r="B30" t="s">
        <v>15</v>
      </c>
      <c r="C30">
        <v>3</v>
      </c>
      <c r="D30" s="5" t="s">
        <v>55</v>
      </c>
      <c r="E30" s="2" t="s">
        <v>9</v>
      </c>
      <c r="F30" t="str">
        <f>IFERROR(VLOOKUP(TRIM(B30),Table6[],3,0),VLOOKUP(L30,Table6[],2,0))</f>
        <v>Branch Manager</v>
      </c>
      <c r="G30">
        <v>3</v>
      </c>
      <c r="H30" s="14" t="str">
        <f>IF(COUNTIF(tester_roles[Tester_Name],'Pre-prod'!A30)&gt;0,"Y","N")</f>
        <v>N</v>
      </c>
      <c r="I30" t="str">
        <f>IFERROR(VLOOKUP(A30,tester_roles[],2,0),"")</f>
        <v/>
      </c>
      <c r="J30" t="str">
        <f>IFERROR(VLOOKUP(A30,tester_roles[#All],5,0),"")</f>
        <v/>
      </c>
      <c r="K30" t="str">
        <f>IFERROR(VLOOKUP(I30,roles[],2,0),"")</f>
        <v/>
      </c>
      <c r="L30" s="13" t="str">
        <f>IFERROR(VLOOKUP(A30,tester_roles[],3,0),"")</f>
        <v/>
      </c>
    </row>
    <row r="31" spans="1:12" ht="16.5" x14ac:dyDescent="0.3">
      <c r="A31" t="s">
        <v>59</v>
      </c>
      <c r="B31" t="s">
        <v>15</v>
      </c>
      <c r="C31">
        <v>3</v>
      </c>
      <c r="D31" s="5" t="s">
        <v>55</v>
      </c>
      <c r="E31" s="2" t="s">
        <v>9</v>
      </c>
      <c r="F31" t="str">
        <f>IFERROR(VLOOKUP(TRIM(B31),Table6[],3,0),VLOOKUP(L31,Table6[],2,0))</f>
        <v>Branch Manager</v>
      </c>
      <c r="G31">
        <v>3</v>
      </c>
      <c r="H31" s="14" t="str">
        <f>IF(COUNTIF(tester_roles[Tester_Name],'Pre-prod'!A31)&gt;0,"Y","N")</f>
        <v>N</v>
      </c>
      <c r="I31" t="str">
        <f>IFERROR(VLOOKUP(A31,tester_roles[],2,0),"")</f>
        <v/>
      </c>
      <c r="J31" t="str">
        <f>IFERROR(VLOOKUP(A31,tester_roles[#All],5,0),"")</f>
        <v/>
      </c>
      <c r="K31" t="str">
        <f>IFERROR(VLOOKUP(I31,roles[],2,0),"")</f>
        <v/>
      </c>
      <c r="L31" s="13" t="str">
        <f>IFERROR(VLOOKUP(A31,tester_roles[],3,0),"")</f>
        <v/>
      </c>
    </row>
    <row r="32" spans="1:12" ht="16.5" x14ac:dyDescent="0.3">
      <c r="A32" t="s">
        <v>60</v>
      </c>
      <c r="B32" t="s">
        <v>15</v>
      </c>
      <c r="C32">
        <v>3</v>
      </c>
      <c r="D32" s="5" t="s">
        <v>61</v>
      </c>
      <c r="E32" s="2" t="s">
        <v>9</v>
      </c>
      <c r="F32" t="str">
        <f>IFERROR(VLOOKUP(TRIM(B32),Table6[],3,0),VLOOKUP(L32,Table6[],2,0))</f>
        <v>Branch Manager</v>
      </c>
      <c r="G32">
        <v>3</v>
      </c>
      <c r="H32" s="14" t="str">
        <f>IF(COUNTIF(tester_roles[Tester_Name],'Pre-prod'!A32)&gt;0,"Y","N")</f>
        <v>N</v>
      </c>
      <c r="I32" t="str">
        <f>IFERROR(VLOOKUP(A32,tester_roles[],2,0),"")</f>
        <v/>
      </c>
      <c r="J32" t="str">
        <f>IFERROR(VLOOKUP(A32,tester_roles[#All],5,0),"")</f>
        <v/>
      </c>
      <c r="K32" t="str">
        <f>IFERROR(VLOOKUP(I32,roles[],2,0),"")</f>
        <v/>
      </c>
      <c r="L32" s="13" t="str">
        <f>IFERROR(VLOOKUP(A32,tester_roles[],3,0),"")</f>
        <v/>
      </c>
    </row>
    <row r="33" spans="1:12" ht="16.5" x14ac:dyDescent="0.3">
      <c r="A33" t="s">
        <v>115</v>
      </c>
      <c r="D33" s="5"/>
      <c r="E33" s="2"/>
      <c r="F33" t="str">
        <f>IFERROR(VLOOKUP(TRIM(B33),Table6[],3,0),VLOOKUP(L33,Table6[],2,0))</f>
        <v>CTRL_STG_APP_ClientIQ_AppAdmin_ADM</v>
      </c>
      <c r="H33" s="14" t="str">
        <f>IF(COUNTIF(tester_roles[Tester_Name],'Pre-prod'!A33)&gt;0,"Y","N")</f>
        <v>Y</v>
      </c>
      <c r="I33" t="str">
        <f>IFERROR(VLOOKUP(A33,tester_roles[],2,0),"")</f>
        <v>System Admin</v>
      </c>
      <c r="J33">
        <f>IFERROR(VLOOKUP(A33,tester_roles[#All],5,0),"")</f>
        <v>9</v>
      </c>
      <c r="K33">
        <f>IFERROR(VLOOKUP(I33,roles[],2,0),"")</f>
        <v>4</v>
      </c>
      <c r="L33" s="13" t="str">
        <f>IFERROR(VLOOKUP(A33,tester_roles[],3,0),"")</f>
        <v>CTRL_PRE_APP_ClientIQ_APPSVCS_ADM</v>
      </c>
    </row>
    <row r="34" spans="1:12" ht="16.5" x14ac:dyDescent="0.3">
      <c r="A34" s="6" t="s">
        <v>116</v>
      </c>
      <c r="D34" s="5"/>
      <c r="E34" s="2"/>
      <c r="F34" t="str">
        <f>IFERROR(VLOOKUP(TRIM(B34),Table6[],3,0),VLOOKUP(L34,Table6[],2,0))</f>
        <v>CTRL_STG_APP_ClientIQ_LoanOfficer_RW</v>
      </c>
      <c r="H34" s="14" t="str">
        <f>IF(COUNTIF(tester_roles[Tester_Name],'Pre-prod'!A34)&gt;0,"Y","N")</f>
        <v>Y</v>
      </c>
      <c r="I34" t="str">
        <f>IFERROR(VLOOKUP(A34,tester_roles[],2,0),"")</f>
        <v>Loan Officer</v>
      </c>
      <c r="J34">
        <f>IFERROR(VLOOKUP(A34,tester_roles[#All],5,0),"")</f>
        <v>10</v>
      </c>
      <c r="K34">
        <f>IFERROR(VLOOKUP(I34,roles[],2,0),"")</f>
        <v>2</v>
      </c>
      <c r="L34" s="13" t="str">
        <f>IFERROR(VLOOKUP(A34,tester_roles[],3,0),"")</f>
        <v>CTRL_PRE_APP_ClientIQ_LoanOfficer_RW</v>
      </c>
    </row>
    <row r="35" spans="1:12" ht="16.5" x14ac:dyDescent="0.3">
      <c r="A35" s="6" t="s">
        <v>117</v>
      </c>
      <c r="D35" s="5"/>
      <c r="E35" s="2"/>
      <c r="F35" t="str">
        <f>IFERROR(VLOOKUP(TRIM(B35),Table6[],3,0),VLOOKUP(L35,Table6[],2,0))</f>
        <v>CTRL_STG_APP_ClientIQ_Compliance_RO</v>
      </c>
      <c r="H35" s="14" t="str">
        <f>IF(COUNTIF(tester_roles[Tester_Name],'Pre-prod'!A35)&gt;0,"Y","N")</f>
        <v>Y</v>
      </c>
      <c r="I35" t="str">
        <f>IFERROR(VLOOKUP(A35,tester_roles[],2,0),"")</f>
        <v>Compliance Officer</v>
      </c>
      <c r="J35">
        <f>IFERROR(VLOOKUP(A35,tester_roles[#All],5,0),"")</f>
        <v>12</v>
      </c>
      <c r="K35">
        <f>IFERROR(VLOOKUP(I35,roles[],2,0),"")</f>
        <v>1</v>
      </c>
      <c r="L35" s="13" t="str">
        <f>IFERROR(VLOOKUP(A35,tester_roles[],3,0),"")</f>
        <v>CTRL_PRE_APP_ClientIQ_Compliance_RO</v>
      </c>
    </row>
  </sheetData>
  <phoneticPr fontId="3" type="noConversion"/>
  <conditionalFormatting sqref="H2:H35">
    <cfRule type="cellIs" dxfId="1" priority="1" operator="equal">
      <formula>"N"</formula>
    </cfRule>
    <cfRule type="cellIs" dxfId="0" priority="2" operator="equal">
      <formula>"Y"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A05F-B2C8-4DA3-9D08-6953834ABDC8}">
  <dimension ref="A2:A25"/>
  <sheetViews>
    <sheetView workbookViewId="0">
      <selection activeCell="A21" sqref="A21"/>
    </sheetView>
  </sheetViews>
  <sheetFormatPr defaultRowHeight="15" x14ac:dyDescent="0.25"/>
  <cols>
    <col min="1" max="1" width="42.85546875" bestFit="1" customWidth="1"/>
  </cols>
  <sheetData>
    <row r="2" spans="1:1" x14ac:dyDescent="0.25">
      <c r="A2" t="s">
        <v>121</v>
      </c>
    </row>
    <row r="3" spans="1:1" x14ac:dyDescent="0.25">
      <c r="A3" t="s">
        <v>131</v>
      </c>
    </row>
    <row r="4" spans="1:1" x14ac:dyDescent="0.25">
      <c r="A4" t="s">
        <v>129</v>
      </c>
    </row>
    <row r="5" spans="1:1" x14ac:dyDescent="0.25">
      <c r="A5" t="s">
        <v>123</v>
      </c>
    </row>
    <row r="6" spans="1:1" x14ac:dyDescent="0.25">
      <c r="A6" t="s">
        <v>125</v>
      </c>
    </row>
    <row r="7" spans="1:1" x14ac:dyDescent="0.25">
      <c r="A7" t="s">
        <v>127</v>
      </c>
    </row>
    <row r="8" spans="1:1" x14ac:dyDescent="0.25">
      <c r="A8" t="s">
        <v>119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 t="s">
        <v>155</v>
      </c>
    </row>
    <row r="13" spans="1:1" x14ac:dyDescent="0.25">
      <c r="A13" t="s">
        <v>136</v>
      </c>
    </row>
    <row r="14" spans="1:1" x14ac:dyDescent="0.25">
      <c r="A14" t="s">
        <v>156</v>
      </c>
    </row>
    <row r="15" spans="1:1" x14ac:dyDescent="0.25">
      <c r="A15" t="s">
        <v>157</v>
      </c>
    </row>
    <row r="16" spans="1:1" x14ac:dyDescent="0.25">
      <c r="A16" t="s">
        <v>158</v>
      </c>
    </row>
    <row r="17" spans="1:1" x14ac:dyDescent="0.25">
      <c r="A17" t="s">
        <v>159</v>
      </c>
    </row>
    <row r="18" spans="1:1" x14ac:dyDescent="0.25">
      <c r="A18" t="s">
        <v>160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9</v>
      </c>
    </row>
    <row r="22" spans="1:1" x14ac:dyDescent="0.25">
      <c r="A22" t="s">
        <v>137</v>
      </c>
    </row>
    <row r="23" spans="1:1" x14ac:dyDescent="0.25">
      <c r="A23" t="s">
        <v>163</v>
      </c>
    </row>
    <row r="24" spans="1:1" x14ac:dyDescent="0.25">
      <c r="A24" t="s">
        <v>164</v>
      </c>
    </row>
    <row r="25" spans="1:1" x14ac:dyDescent="0.25">
      <c r="A25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13E4-0A59-42E7-BC62-9179C064A752}">
  <dimension ref="A1:C10"/>
  <sheetViews>
    <sheetView workbookViewId="0">
      <selection activeCell="A9" sqref="A9"/>
    </sheetView>
  </sheetViews>
  <sheetFormatPr defaultRowHeight="15" x14ac:dyDescent="0.25"/>
  <cols>
    <col min="1" max="1" width="55.42578125" customWidth="1"/>
    <col min="2" max="3" width="53.42578125" customWidth="1"/>
    <col min="4" max="4" width="39.85546875" customWidth="1"/>
  </cols>
  <sheetData>
    <row r="1" spans="1:3" ht="16.5" x14ac:dyDescent="0.25">
      <c r="A1" t="s">
        <v>147</v>
      </c>
      <c r="B1" s="12" t="s">
        <v>146</v>
      </c>
      <c r="C1" s="12" t="s">
        <v>140</v>
      </c>
    </row>
    <row r="2" spans="1:3" ht="16.5" x14ac:dyDescent="0.25">
      <c r="A2" s="12" t="s">
        <v>37</v>
      </c>
      <c r="B2" s="12" t="s">
        <v>123</v>
      </c>
      <c r="C2" s="12" t="s">
        <v>38</v>
      </c>
    </row>
    <row r="3" spans="1:3" ht="16.5" x14ac:dyDescent="0.25">
      <c r="A3" s="12" t="s">
        <v>148</v>
      </c>
      <c r="B3" s="12" t="s">
        <v>129</v>
      </c>
      <c r="C3" s="12" t="s">
        <v>89</v>
      </c>
    </row>
    <row r="4" spans="1:3" ht="16.5" x14ac:dyDescent="0.25">
      <c r="A4" s="12" t="s">
        <v>149</v>
      </c>
      <c r="B4" s="12" t="s">
        <v>127</v>
      </c>
      <c r="C4" s="12" t="s">
        <v>82</v>
      </c>
    </row>
    <row r="5" spans="1:3" ht="16.5" x14ac:dyDescent="0.25">
      <c r="A5" s="12" t="s">
        <v>150</v>
      </c>
      <c r="B5" s="12" t="s">
        <v>136</v>
      </c>
      <c r="C5" s="12"/>
    </row>
    <row r="6" spans="1:3" ht="16.5" x14ac:dyDescent="0.25">
      <c r="A6" s="12" t="s">
        <v>151</v>
      </c>
      <c r="B6" s="12" t="s">
        <v>131</v>
      </c>
      <c r="C6" s="12" t="s">
        <v>91</v>
      </c>
    </row>
    <row r="7" spans="1:3" ht="16.5" x14ac:dyDescent="0.25">
      <c r="A7" s="12" t="s">
        <v>40</v>
      </c>
      <c r="B7" s="12" t="s">
        <v>125</v>
      </c>
      <c r="C7" s="12" t="s">
        <v>100</v>
      </c>
    </row>
    <row r="8" spans="1:3" ht="16.5" x14ac:dyDescent="0.25">
      <c r="A8" s="12" t="s">
        <v>15</v>
      </c>
      <c r="B8" s="12" t="s">
        <v>119</v>
      </c>
      <c r="C8" s="12" t="s">
        <v>34</v>
      </c>
    </row>
    <row r="9" spans="1:3" ht="16.5" x14ac:dyDescent="0.25">
      <c r="A9" s="12" t="s">
        <v>7</v>
      </c>
      <c r="B9" s="12" t="s">
        <v>121</v>
      </c>
      <c r="C9" s="12" t="s">
        <v>66</v>
      </c>
    </row>
    <row r="10" spans="1:3" ht="16.5" x14ac:dyDescent="0.25">
      <c r="A10" s="12" t="s">
        <v>9</v>
      </c>
      <c r="B10" s="12" t="s">
        <v>137</v>
      </c>
      <c r="C10" s="1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4A162-471E-4A41-8207-666A887ED43F}">
  <dimension ref="A1:E10"/>
  <sheetViews>
    <sheetView workbookViewId="0">
      <selection activeCell="C3" sqref="C3"/>
    </sheetView>
  </sheetViews>
  <sheetFormatPr defaultRowHeight="15" x14ac:dyDescent="0.25"/>
  <cols>
    <col min="1" max="1" width="26.5703125" bestFit="1" customWidth="1"/>
    <col min="2" max="2" width="21" bestFit="1" customWidth="1"/>
    <col min="3" max="3" width="57.28515625" customWidth="1"/>
    <col min="4" max="4" width="44" customWidth="1"/>
  </cols>
  <sheetData>
    <row r="1" spans="1:5" x14ac:dyDescent="0.25">
      <c r="A1" s="1" t="s">
        <v>118</v>
      </c>
      <c r="B1" s="1" t="s">
        <v>135</v>
      </c>
      <c r="C1" s="1" t="s">
        <v>133</v>
      </c>
      <c r="D1" s="1" t="s">
        <v>134</v>
      </c>
      <c r="E1" s="1" t="s">
        <v>141</v>
      </c>
    </row>
    <row r="2" spans="1:5" ht="15.75" x14ac:dyDescent="0.25">
      <c r="A2" s="6" t="s">
        <v>23</v>
      </c>
      <c r="B2" t="s">
        <v>34</v>
      </c>
      <c r="C2" s="11" t="s">
        <v>15</v>
      </c>
      <c r="D2" s="11" t="s">
        <v>120</v>
      </c>
      <c r="E2">
        <f>VLOOKUP(B2,role_id[],2,0)</f>
        <v>4</v>
      </c>
    </row>
    <row r="3" spans="1:5" ht="15.75" x14ac:dyDescent="0.25">
      <c r="A3" s="7" t="s">
        <v>115</v>
      </c>
      <c r="B3" t="s">
        <v>66</v>
      </c>
      <c r="C3" s="11" t="s">
        <v>7</v>
      </c>
      <c r="D3" s="11" t="s">
        <v>122</v>
      </c>
      <c r="E3">
        <f>VLOOKUP(B3,role_id[],2,0)</f>
        <v>9</v>
      </c>
    </row>
    <row r="4" spans="1:5" ht="15.75" x14ac:dyDescent="0.25">
      <c r="A4" s="6" t="s">
        <v>31</v>
      </c>
      <c r="B4" t="s">
        <v>38</v>
      </c>
      <c r="C4" s="11" t="s">
        <v>37</v>
      </c>
      <c r="D4" s="11" t="s">
        <v>124</v>
      </c>
      <c r="E4">
        <f>VLOOKUP(B4,role_id[],2,0)</f>
        <v>2</v>
      </c>
    </row>
    <row r="5" spans="1:5" ht="15.75" x14ac:dyDescent="0.25">
      <c r="A5" s="6" t="s">
        <v>21</v>
      </c>
      <c r="B5" t="s">
        <v>100</v>
      </c>
      <c r="C5" s="11" t="s">
        <v>40</v>
      </c>
      <c r="D5" s="11" t="s">
        <v>126</v>
      </c>
      <c r="E5">
        <f>VLOOKUP(B5,role_id[],2,0)</f>
        <v>3</v>
      </c>
    </row>
    <row r="6" spans="1:5" ht="15.75" x14ac:dyDescent="0.25">
      <c r="A6" s="6" t="s">
        <v>116</v>
      </c>
      <c r="B6" t="s">
        <v>82</v>
      </c>
      <c r="C6" s="11" t="s">
        <v>149</v>
      </c>
      <c r="D6" s="11" t="s">
        <v>128</v>
      </c>
      <c r="E6">
        <f>VLOOKUP(B6,role_id[],2,0)</f>
        <v>10</v>
      </c>
    </row>
    <row r="7" spans="1:5" ht="15.75" x14ac:dyDescent="0.25">
      <c r="A7" s="6" t="s">
        <v>10</v>
      </c>
      <c r="B7" t="s">
        <v>38</v>
      </c>
      <c r="C7" s="11" t="s">
        <v>37</v>
      </c>
      <c r="D7" s="11" t="s">
        <v>124</v>
      </c>
      <c r="E7">
        <f>VLOOKUP(B7,role_id[],2,0)</f>
        <v>2</v>
      </c>
    </row>
    <row r="8" spans="1:5" ht="15.75" x14ac:dyDescent="0.25">
      <c r="A8" s="6" t="s">
        <v>17</v>
      </c>
      <c r="B8" t="s">
        <v>38</v>
      </c>
      <c r="C8" s="11" t="s">
        <v>37</v>
      </c>
      <c r="D8" s="11" t="s">
        <v>124</v>
      </c>
      <c r="E8">
        <f>VLOOKUP(B8,role_id[],2,0)</f>
        <v>2</v>
      </c>
    </row>
    <row r="9" spans="1:5" ht="15.75" x14ac:dyDescent="0.25">
      <c r="A9" s="6" t="s">
        <v>19</v>
      </c>
      <c r="B9" t="s">
        <v>89</v>
      </c>
      <c r="C9" s="11" t="s">
        <v>148</v>
      </c>
      <c r="D9" s="11" t="s">
        <v>130</v>
      </c>
      <c r="E9">
        <f>VLOOKUP(B9,role_id[],2,0)</f>
        <v>11</v>
      </c>
    </row>
    <row r="10" spans="1:5" ht="15.75" x14ac:dyDescent="0.25">
      <c r="A10" s="6" t="s">
        <v>117</v>
      </c>
      <c r="B10" t="s">
        <v>91</v>
      </c>
      <c r="C10" s="11" t="s">
        <v>151</v>
      </c>
      <c r="D10" s="11" t="s">
        <v>132</v>
      </c>
      <c r="E10">
        <f>VLOOKUP(B10,role_id[],2,0)</f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AC52-9B10-430C-B803-88C3B8FA9142}">
  <dimension ref="A1:C6"/>
  <sheetViews>
    <sheetView workbookViewId="0">
      <selection sqref="A1:A1048576"/>
    </sheetView>
  </sheetViews>
  <sheetFormatPr defaultRowHeight="15" x14ac:dyDescent="0.25"/>
  <cols>
    <col min="1" max="1" width="13.7109375" bestFit="1" customWidth="1"/>
    <col min="3" max="4" width="62.5703125" bestFit="1" customWidth="1"/>
  </cols>
  <sheetData>
    <row r="1" spans="1:3" x14ac:dyDescent="0.25">
      <c r="A1" t="s">
        <v>64</v>
      </c>
      <c r="B1" t="s">
        <v>63</v>
      </c>
      <c r="C1" t="s">
        <v>65</v>
      </c>
    </row>
    <row r="2" spans="1:3" x14ac:dyDescent="0.25">
      <c r="A2" t="s">
        <v>66</v>
      </c>
      <c r="B2">
        <v>4</v>
      </c>
      <c r="C2" t="s">
        <v>67</v>
      </c>
    </row>
    <row r="3" spans="1:3" x14ac:dyDescent="0.25">
      <c r="A3" t="s">
        <v>68</v>
      </c>
      <c r="B3">
        <v>3</v>
      </c>
      <c r="C3" t="s">
        <v>69</v>
      </c>
    </row>
    <row r="4" spans="1:3" x14ac:dyDescent="0.25">
      <c r="A4" t="s">
        <v>70</v>
      </c>
      <c r="B4">
        <v>2</v>
      </c>
      <c r="C4" t="s">
        <v>71</v>
      </c>
    </row>
    <row r="5" spans="1:3" x14ac:dyDescent="0.25">
      <c r="A5" t="s">
        <v>72</v>
      </c>
      <c r="B5">
        <v>1</v>
      </c>
      <c r="C5" t="s">
        <v>73</v>
      </c>
    </row>
    <row r="6" spans="1:3" x14ac:dyDescent="0.25">
      <c r="A6" t="s">
        <v>74</v>
      </c>
      <c r="B6">
        <v>0</v>
      </c>
      <c r="C6" t="s">
        <v>75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CD4AC-FF88-4804-A218-BCCFA458F4C8}">
  <dimension ref="A1:C10"/>
  <sheetViews>
    <sheetView workbookViewId="0">
      <selection sqref="A1:C10"/>
    </sheetView>
  </sheetViews>
  <sheetFormatPr defaultRowHeight="15" x14ac:dyDescent="0.25"/>
  <cols>
    <col min="1" max="1" width="20" bestFit="1" customWidth="1"/>
    <col min="2" max="2" width="15.28515625" customWidth="1"/>
    <col min="3" max="3" width="54" bestFit="1" customWidth="1"/>
  </cols>
  <sheetData>
    <row r="1" spans="1:3" x14ac:dyDescent="0.25">
      <c r="A1" t="s">
        <v>76</v>
      </c>
      <c r="B1" t="s">
        <v>2</v>
      </c>
      <c r="C1" t="s">
        <v>77</v>
      </c>
    </row>
    <row r="2" spans="1:3" x14ac:dyDescent="0.25">
      <c r="A2" t="s">
        <v>66</v>
      </c>
      <c r="B2">
        <v>4</v>
      </c>
      <c r="C2" t="s">
        <v>78</v>
      </c>
    </row>
    <row r="3" spans="1:3" x14ac:dyDescent="0.25">
      <c r="A3" t="s">
        <v>34</v>
      </c>
      <c r="B3">
        <v>3</v>
      </c>
      <c r="C3" t="s">
        <v>79</v>
      </c>
    </row>
    <row r="4" spans="1:3" x14ac:dyDescent="0.25">
      <c r="A4" t="s">
        <v>80</v>
      </c>
      <c r="B4">
        <v>2</v>
      </c>
      <c r="C4" t="s">
        <v>81</v>
      </c>
    </row>
    <row r="5" spans="1:3" x14ac:dyDescent="0.25">
      <c r="A5" t="s">
        <v>82</v>
      </c>
      <c r="B5">
        <v>2</v>
      </c>
      <c r="C5" t="s">
        <v>83</v>
      </c>
    </row>
    <row r="6" spans="1:3" x14ac:dyDescent="0.25">
      <c r="A6" t="s">
        <v>84</v>
      </c>
      <c r="B6">
        <v>2</v>
      </c>
      <c r="C6" t="s">
        <v>85</v>
      </c>
    </row>
    <row r="7" spans="1:3" x14ac:dyDescent="0.25">
      <c r="A7" t="s">
        <v>38</v>
      </c>
      <c r="B7">
        <v>1</v>
      </c>
      <c r="C7" t="s">
        <v>86</v>
      </c>
    </row>
    <row r="8" spans="1:3" x14ac:dyDescent="0.25">
      <c r="A8" t="s">
        <v>87</v>
      </c>
      <c r="B8">
        <v>1</v>
      </c>
      <c r="C8" t="s">
        <v>88</v>
      </c>
    </row>
    <row r="9" spans="1:3" x14ac:dyDescent="0.25">
      <c r="A9" t="s">
        <v>89</v>
      </c>
      <c r="B9">
        <v>1</v>
      </c>
      <c r="C9" t="s">
        <v>90</v>
      </c>
    </row>
    <row r="10" spans="1:3" x14ac:dyDescent="0.25">
      <c r="A10" t="s">
        <v>91</v>
      </c>
      <c r="B10">
        <v>1</v>
      </c>
      <c r="C10" t="s">
        <v>92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7937-477C-41DA-9E72-F446B784BED3}">
  <dimension ref="A1:E13"/>
  <sheetViews>
    <sheetView workbookViewId="0">
      <selection activeCell="A10" sqref="A10"/>
    </sheetView>
  </sheetViews>
  <sheetFormatPr defaultRowHeight="15" x14ac:dyDescent="0.25"/>
  <cols>
    <col min="1" max="1" width="20.5703125" bestFit="1" customWidth="1"/>
    <col min="4" max="5" width="52.140625" bestFit="1" customWidth="1"/>
    <col min="6" max="6" width="68.28515625" customWidth="1"/>
  </cols>
  <sheetData>
    <row r="1" spans="1:5" x14ac:dyDescent="0.25">
      <c r="A1" t="s">
        <v>94</v>
      </c>
      <c r="B1" t="s">
        <v>93</v>
      </c>
      <c r="C1" t="s">
        <v>95</v>
      </c>
      <c r="D1" t="s">
        <v>96</v>
      </c>
      <c r="E1" t="s">
        <v>138</v>
      </c>
    </row>
    <row r="2" spans="1:5" x14ac:dyDescent="0.25">
      <c r="A2" t="s">
        <v>97</v>
      </c>
      <c r="B2">
        <v>1</v>
      </c>
      <c r="C2">
        <v>1</v>
      </c>
      <c r="D2" t="s">
        <v>98</v>
      </c>
    </row>
    <row r="3" spans="1:5" x14ac:dyDescent="0.25">
      <c r="A3" t="s">
        <v>38</v>
      </c>
      <c r="B3">
        <v>2</v>
      </c>
      <c r="C3">
        <v>1</v>
      </c>
      <c r="D3" t="s">
        <v>99</v>
      </c>
      <c r="E3" t="s">
        <v>123</v>
      </c>
    </row>
    <row r="4" spans="1:5" x14ac:dyDescent="0.25">
      <c r="A4" t="s">
        <v>100</v>
      </c>
      <c r="B4">
        <v>3</v>
      </c>
      <c r="C4">
        <v>2</v>
      </c>
      <c r="D4" t="s">
        <v>101</v>
      </c>
      <c r="E4" t="s">
        <v>125</v>
      </c>
    </row>
    <row r="5" spans="1:5" x14ac:dyDescent="0.25">
      <c r="A5" t="s">
        <v>34</v>
      </c>
      <c r="B5">
        <v>4</v>
      </c>
      <c r="C5">
        <v>3</v>
      </c>
      <c r="D5" t="s">
        <v>102</v>
      </c>
      <c r="E5" t="s">
        <v>119</v>
      </c>
    </row>
    <row r="6" spans="1:5" x14ac:dyDescent="0.25">
      <c r="A6" t="s">
        <v>103</v>
      </c>
      <c r="B6">
        <v>5</v>
      </c>
      <c r="C6">
        <v>3</v>
      </c>
      <c r="D6" t="s">
        <v>104</v>
      </c>
      <c r="E6" t="s">
        <v>119</v>
      </c>
    </row>
    <row r="7" spans="1:5" x14ac:dyDescent="0.25">
      <c r="A7" t="s">
        <v>105</v>
      </c>
      <c r="B7">
        <v>6</v>
      </c>
      <c r="C7">
        <v>3</v>
      </c>
      <c r="D7" t="s">
        <v>106</v>
      </c>
    </row>
    <row r="8" spans="1:5" x14ac:dyDescent="0.25">
      <c r="A8" t="s">
        <v>107</v>
      </c>
      <c r="B8">
        <v>7</v>
      </c>
      <c r="C8">
        <v>3</v>
      </c>
      <c r="D8" t="s">
        <v>108</v>
      </c>
    </row>
    <row r="9" spans="1:5" x14ac:dyDescent="0.25">
      <c r="A9" t="s">
        <v>109</v>
      </c>
      <c r="B9">
        <v>8</v>
      </c>
      <c r="C9">
        <v>3</v>
      </c>
      <c r="D9" t="s">
        <v>110</v>
      </c>
      <c r="E9" t="s">
        <v>137</v>
      </c>
    </row>
    <row r="10" spans="1:5" x14ac:dyDescent="0.25">
      <c r="A10" t="s">
        <v>66</v>
      </c>
      <c r="B10">
        <v>9</v>
      </c>
      <c r="C10">
        <v>4</v>
      </c>
      <c r="D10" t="s">
        <v>111</v>
      </c>
      <c r="E10" t="s">
        <v>121</v>
      </c>
    </row>
    <row r="11" spans="1:5" x14ac:dyDescent="0.25">
      <c r="A11" t="s">
        <v>82</v>
      </c>
      <c r="B11">
        <v>10</v>
      </c>
      <c r="C11">
        <v>2</v>
      </c>
      <c r="D11" t="s">
        <v>112</v>
      </c>
      <c r="E11" t="s">
        <v>127</v>
      </c>
    </row>
    <row r="12" spans="1:5" x14ac:dyDescent="0.25">
      <c r="A12" t="s">
        <v>89</v>
      </c>
      <c r="B12">
        <v>11</v>
      </c>
      <c r="C12">
        <v>1</v>
      </c>
      <c r="D12" t="s">
        <v>113</v>
      </c>
      <c r="E12" t="s">
        <v>129</v>
      </c>
    </row>
    <row r="13" spans="1:5" x14ac:dyDescent="0.25">
      <c r="A13" t="s">
        <v>91</v>
      </c>
      <c r="B13">
        <v>12</v>
      </c>
      <c r="C13">
        <v>1</v>
      </c>
      <c r="D13" t="s">
        <v>114</v>
      </c>
      <c r="E13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Pre-prod</vt:lpstr>
      <vt:lpstr>AD_Groups</vt:lpstr>
      <vt:lpstr>Client_IQ_Groups</vt:lpstr>
      <vt:lpstr>Tester_Roles</vt:lpstr>
      <vt:lpstr>Privilege_Levels</vt:lpstr>
      <vt:lpstr>Roles</vt:lpstr>
      <vt:lpstr>role_id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Kerlagon</dc:creator>
  <cp:lastModifiedBy>Ryan Kerlagon</cp:lastModifiedBy>
  <dcterms:created xsi:type="dcterms:W3CDTF">2026-06-24T20:38:18Z</dcterms:created>
  <dcterms:modified xsi:type="dcterms:W3CDTF">2026-06-25T16:59:54Z</dcterms:modified>
</cp:coreProperties>
</file>